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ọc trước" sheetId="1" state="visible" r:id="rId3"/>
    <sheet name="Kiểm kê màn hình" sheetId="2" state="visible" r:id="rId4"/>
    <sheet name="Điều hướng" sheetId="3" state="visible" r:id="rId5"/>
    <sheet name="Nhãn" sheetId="4" state="visible" r:id="rId6"/>
    <sheet name="Taxonomy" sheetId="5" state="visible" r:id="rId7"/>
    <sheet name="Mô hình nội dung" sheetId="6" state="visible" r:id="rId8"/>
    <sheet name="User flows" sheetId="7" state="visible" r:id="rId9"/>
    <sheet name="Tree test" sheetId="8" state="visible" r:id="rId10"/>
    <sheet name="Cần xác nhận" sheetId="9" state="visible" r:id="rId11"/>
  </sheets>
  <definedNames>
    <definedName function="false" hidden="true" localSheetId="8" name="_xlnm._FilterDatabase" vbProcedure="false">'Cần xác nhận'!$A$1:$D$22</definedName>
    <definedName function="false" hidden="true" localSheetId="2" name="_xlnm._FilterDatabase" vbProcedure="false">'Điều hướng'!$A$1:$G$36</definedName>
    <definedName function="false" hidden="true" localSheetId="1" name="_xlnm._FilterDatabase" vbProcedure="false">'Kiểm kê màn hình'!$A$1:$N$74</definedName>
    <definedName function="false" hidden="true" localSheetId="5" name="_xlnm._FilterDatabase" vbProcedure="false">'Mô hình nội dung'!$A$1:$F$43</definedName>
    <definedName function="false" hidden="true" localSheetId="3" name="_xlnm._FilterDatabase" vbProcedure="false">Nhãn!$A$1:$D$13</definedName>
    <definedName function="false" hidden="true" localSheetId="4" name="_xlnm._FilterDatabase" vbProcedure="false">Taxonomy!$A$1:$F$81</definedName>
    <definedName function="false" hidden="true" localSheetId="7" name="_xlnm._FilterDatabase" vbProcedure="false">'Tree test'!$A$1:$M$15</definedName>
    <definedName function="false" hidden="true" localSheetId="6" name="_xlnm._FilterDatabase" vbProcedure="false">'User flows'!$A$1:$F$8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<sst xmlns="http://schemas.openxmlformats.org/spreadsheetml/2006/main" count="1951" uniqueCount="880">
  <si>
    <t xml:space="preserve">Moonkage – Bộ tài liệu kiến trúc thông tin (IA)</t>
  </si>
  <si>
    <t xml:space="preserve">Cập nhật: 23/10/2026. Nguồn: Context, User Stories, Requirement v1.8 (v1.7: BR-33, BR-34, FR-54; v1.8: AC-02.3, AC-14.5, AC-14.6; cả hai ở nhánh feat/product-cake-type-brand, chưa merge), Software Design v0.6.6. Wireframe cũ S00–S10 đã xóa; chưa có wireframe nào. Áp dụng đề xuất chỉnh sửa IA ngày 23/10 (Đ2–Đ7); nhãn cấp 1 (Đ1) chờ tree test</t>
  </si>
  <si>
    <t xml:space="preserve">Figma user flow CHƯA đối chiếu (chưa có link). Luồng F1–F7 lấy từ Requirement mục 8.</t>
  </si>
  <si>
    <t xml:space="preserve">Mã trang: M = Mua hàng (web), B = Kênh người bán, Q = Quản trị, V = App Moonkage Verify.</t>
  </si>
  <si>
    <t xml:space="preserve">Sửa sheet 'Kiểm kê màn hình' trước khi sửa wireframe. Cột 'Phạm vi demo' và 'Quyết định' có danh sách chọn.</t>
  </si>
  <si>
    <t xml:space="preserve">Tổng hợp (tự tính từ sheet Kiểm kê màn hình)</t>
  </si>
  <si>
    <t xml:space="preserve">Khu</t>
  </si>
  <si>
    <t xml:space="preserve">Số trang</t>
  </si>
  <si>
    <t xml:space="preserve">Mua hàng (web)</t>
  </si>
  <si>
    <t xml:space="preserve">Kênh người bán</t>
  </si>
  <si>
    <t xml:space="preserve">Quản trị</t>
  </si>
  <si>
    <t xml:space="preserve">App Moonkage Verify</t>
  </si>
  <si>
    <t xml:space="preserve">Tổng</t>
  </si>
  <si>
    <t xml:space="preserve">Phạm vi demo</t>
  </si>
  <si>
    <t xml:space="preserve">Làm trọn</t>
  </si>
  <si>
    <t xml:space="preserve">Đơn giản</t>
  </si>
  <si>
    <t xml:space="preserve">Hoãn</t>
  </si>
  <si>
    <t xml:space="preserve">Cần xác nhận</t>
  </si>
  <si>
    <t xml:space="preserve">Trang đã có wireframe</t>
  </si>
  <si>
    <t xml:space="preserve">ID</t>
  </si>
  <si>
    <t xml:space="preserve">Trang cha</t>
  </si>
  <si>
    <t xml:space="preserve">Tên trang (nhãn)</t>
  </si>
  <si>
    <t xml:space="preserve">Loại trang</t>
  </si>
  <si>
    <t xml:space="preserve">Đường dẫn đề xuất</t>
  </si>
  <si>
    <t xml:space="preserve">Ai thấy</t>
  </si>
  <si>
    <t xml:space="preserve">Điều kiện hiển thị</t>
  </si>
  <si>
    <t xml:space="preserve">FR</t>
  </si>
  <si>
    <t xml:space="preserve">Wireframe hiện có</t>
  </si>
  <si>
    <t xml:space="preserve">Quyết định</t>
  </si>
  <si>
    <t xml:space="preserve">Luồng</t>
  </si>
  <si>
    <t xml:space="preserve">Ghi chú</t>
  </si>
  <si>
    <t xml:space="preserve">M1.0</t>
  </si>
  <si>
    <t xml:space="preserve">M</t>
  </si>
  <si>
    <t xml:space="preserve">Trang chủ</t>
  </si>
  <si>
    <t xml:space="preserve">Trang</t>
  </si>
  <si>
    <t xml:space="preserve">/</t>
  </si>
  <si>
    <t xml:space="preserve">Khách, Người mua</t>
  </si>
  <si>
    <t xml:space="preserve">FR-05, FR-06, FR-14, FR-16 (lối vào)</t>
  </si>
  <si>
    <t xml:space="preserve">Sửa</t>
  </si>
  <si>
    <t xml:space="preserve">F1, F2, F3</t>
  </si>
  <si>
    <t xml:space="preserve">Năm khối theo thứ tự (Đ3): 1 chọn khu vực (khách chưa có, AC-05.3) · 2 hai thẻ lối vào kèm điều kiện thật · 3 một dòng 'Việc cần bạn' (đã đăng nhập, có việc chờ) · 4 'Có sẵn giao tới [tỉnh]' · 5 'Nhận đặt theo yêu cầu' (bảng vài đơn vị). Không có: lịch mùa, hạn chót, số liệu không tính từ dữ liệu, ngưỡng chung '30 hộp'</t>
  </si>
  <si>
    <t xml:space="preserve">M1.1</t>
  </si>
  <si>
    <t xml:space="preserve">Chọn khu vực giao</t>
  </si>
  <si>
    <t xml:space="preserve">Hộp thoại</t>
  </si>
  <si>
    <t xml:space="preserve">(hộp thoại)</t>
  </si>
  <si>
    <t xml:space="preserve">Mở trước khi hiện sản phẩm nếu chưa có khu vực</t>
  </si>
  <si>
    <t xml:space="preserve">FR-03, FR-05 (AC-05.3)</t>
  </si>
  <si>
    <t xml:space="preserve">Mới</t>
  </si>
  <si>
    <t xml:space="preserve">F1</t>
  </si>
  <si>
    <t xml:space="preserve">Người đã đăng nhập chọn từ địa chỉ đã lưu; khách chọn tỉnh/thành</t>
  </si>
  <si>
    <t xml:space="preserve">M2.0</t>
  </si>
  <si>
    <t xml:space="preserve">Mua hàng có sẵn</t>
  </si>
  <si>
    <t xml:space="preserve">Template: danh sách</t>
  </si>
  <si>
    <t xml:space="preserve">/san-pham</t>
  </si>
  <si>
    <t xml:space="preserve">FR-06, AC-14.5</t>
  </si>
  <si>
    <t xml:space="preserve">F1, F3</t>
  </si>
  <si>
    <t xml:space="preserve">Nhãn chốt theo tree test (Đ1, cây B). Lọc giá, thương hiệu, vỏ bánh, nhân bánh, Shop (chọn nhiều trong một bộ lọc = HOẶC); sắp xếp giá, đánh giá. Từ khóa khớp tên đơn vị nhận đặt hàng → khối 'Đơn vị cung cấp' tách khỏi danh sách sản phẩm, không lọc vùng giao (AC-14.5, /api/suppliers?q=). Không có kết quả → gợi ý bỏ lọc + lối Tạo yêu cầu báo giá</t>
  </si>
  <si>
    <t xml:space="preserve">M2.1</t>
  </si>
  <si>
    <t xml:space="preserve">Chi tiết sản phẩm</t>
  </si>
  <si>
    <t xml:space="preserve">Template</t>
  </si>
  <si>
    <t xml:space="preserve">/san-pham/:productId</t>
  </si>
  <si>
    <t xml:space="preserve">Chủ của Shop: nhãn "Sản phẩm của bạn", không có nút mua (BR-22)</t>
  </si>
  <si>
    <t xml:space="preserve">FR-07, FR-08</t>
  </si>
  <si>
    <t xml:space="preserve">Có lối "Gửi yêu cầu cho Shop này" nếu người bán nhận đặt hàng</t>
  </si>
  <si>
    <t xml:space="preserve">M3.0</t>
  </si>
  <si>
    <t xml:space="preserve">Đặt theo yêu cầu</t>
  </si>
  <si>
    <t xml:space="preserve">Trang trung chuyển</t>
  </si>
  <si>
    <t xml:space="preserve">/dat-theo-yeu-cau</t>
  </si>
  <si>
    <t xml:space="preserve">FR-14, FR-16</t>
  </si>
  <si>
    <t xml:space="preserve">F2, F3</t>
  </si>
  <si>
    <t xml:space="preserve">Nhãn chốt theo tree test (Đ1, cây B). Dòng mô tả dưới nhãn: số lượng lớn, in logo hoặc hàng phải làm riêng, dù ít hộp. Giải thích 2 cách: gửi nhiều nơi (yêu cầu báo giá) hoặc chọn một đơn vị</t>
  </si>
  <si>
    <t xml:space="preserve">M3.1</t>
  </si>
  <si>
    <t xml:space="preserve">Tạo yêu cầu báo giá</t>
  </si>
  <si>
    <t xml:space="preserve">Form</t>
  </si>
  <si>
    <t xml:space="preserve">/dat-theo-yeu-cau/yeu-cau-moi</t>
  </si>
  <si>
    <t xml:space="preserve">Người mua đã xác minh NFC</t>
  </si>
  <si>
    <t xml:space="preserve">Chưa xác minh → M6.4 rồi quay lại</t>
  </si>
  <si>
    <t xml:space="preserve">FR-16</t>
  </si>
  <si>
    <t xml:space="preserve">F2</t>
  </si>
  <si>
    <t xml:space="preserve">Chính là yêu cầu mở. Không có người bán phù hợp → gợi ý chỉnh số lượng, custom, hạn giao</t>
  </si>
  <si>
    <t xml:space="preserve">M3.2</t>
  </si>
  <si>
    <t xml:space="preserve">Đơn vị cung cấp</t>
  </si>
  <si>
    <t xml:space="preserve">/don-vi-cung-cap</t>
  </si>
  <si>
    <t xml:space="preserve">FR-14 (AC-14.3, AC-14.6)</t>
  </si>
  <si>
    <t xml:space="preserve">F3</t>
  </si>
  <si>
    <t xml:space="preserve">Ô tìm theo tên (AC-14.6). Gồm cả người bán chỉ nhận đặt hàng (nhãn 'Chỉ nhận đặt hàng')</t>
  </si>
  <si>
    <t xml:space="preserve">M3.3</t>
  </si>
  <si>
    <t xml:space="preserve">Trang đơn vị cung cấp</t>
  </si>
  <si>
    <t xml:space="preserve">/don-vi-cung-cap/:vendorId</t>
  </si>
  <si>
    <t xml:space="preserve">Tab "Hàng có sẵn" chỉ khi có Shop; tab "Nhận đặt hàng" chỉ khi nhận đặt hàng</t>
  </si>
  <si>
    <t xml:space="preserve">FR-14, AC-34.1</t>
  </si>
  <si>
    <t xml:space="preserve">Gộp "trang Shop" và "hồ sơ nhận đặt hàng" vào một trang hai tab</t>
  </si>
  <si>
    <t xml:space="preserve">M3.4</t>
  </si>
  <si>
    <t xml:space="preserve">Gửi yêu cầu cho đơn vị</t>
  </si>
  <si>
    <t xml:space="preserve">/don-vi-cung-cap/:vendorId/yeu-cau</t>
  </si>
  <si>
    <t xml:space="preserve">Chủ của người bán không thấy lối vào (BR-22)</t>
  </si>
  <si>
    <t xml:space="preserve">FR-15</t>
  </si>
  <si>
    <t xml:space="preserve">Chính là yêu cầu trực tiếp. Lối vào từ M2.1, M3.3 và giỏ hàng vượt ngưỡng (AC-08.2)</t>
  </si>
  <si>
    <t xml:space="preserve">M4.0</t>
  </si>
  <si>
    <t xml:space="preserve">Giỏ hàng</t>
  </si>
  <si>
    <t xml:space="preserve">Bước</t>
  </si>
  <si>
    <t xml:space="preserve">/gio-hang</t>
  </si>
  <si>
    <t xml:space="preserve">Người mua</t>
  </si>
  <si>
    <t xml:space="preserve">Không có giỏ của khách: khách bấm thêm vào giỏ → đăng nhập, rồi tự thêm và quay về (AC-02.3)</t>
  </si>
  <si>
    <t xml:space="preserve">FR-08, AC-02.3</t>
  </si>
  <si>
    <t xml:space="preserve">Tách theo Shop, phí giao từng Shop. Giỏ thuộc tài khoản (root Cart) và BR-22 kiểm ngay lúc thêm (Đ4)</t>
  </si>
  <si>
    <t xml:space="preserve">M4.1</t>
  </si>
  <si>
    <t xml:space="preserve">Thanh toán</t>
  </si>
  <si>
    <t xml:space="preserve">/thanh-toan</t>
  </si>
  <si>
    <t xml:space="preserve">FR-09, FR-24, FR-13 (hoãn)</t>
  </si>
  <si>
    <t xml:space="preserve">Địa chỉ, xuất hóa đơn doanh nghiệp (nhập một lần cho mọi đơn), phí giao. Ô voucher ẩn trong demo</t>
  </si>
  <si>
    <t xml:space="preserve">M4.2</t>
  </si>
  <si>
    <t xml:space="preserve">Cổng VNPay</t>
  </si>
  <si>
    <t xml:space="preserve">Ngoài hệ thống</t>
  </si>
  <si>
    <t xml:space="preserve">(VNPay sandbox)</t>
  </si>
  <si>
    <t xml:space="preserve">FR-09, FR-19, FR-22, FR-27</t>
  </si>
  <si>
    <t xml:space="preserve">F1, F2, F4</t>
  </si>
  <si>
    <t xml:space="preserve">Dùng chung cho mua lẻ, cọc, phần còn lại, phí mở bán</t>
  </si>
  <si>
    <t xml:space="preserve">M4.3</t>
  </si>
  <si>
    <t xml:space="preserve">Kết quả thanh toán</t>
  </si>
  <si>
    <t xml:space="preserve">/thanh-toan/ket-qua</t>
  </si>
  <si>
    <t xml:space="preserve">FR-09 (AC-09.7), BR-25</t>
  </si>
  <si>
    <t xml:space="preserve">Hiện N đơn vừa tạo, nhóm theo lần thanh toán; chỉ hiển thị, không đổi trạng thái</t>
  </si>
  <si>
    <t xml:space="preserve">M5.1</t>
  </si>
  <si>
    <t xml:space="preserve">Đăng nhập</t>
  </si>
  <si>
    <t xml:space="preserve">/dang-nhap</t>
  </si>
  <si>
    <t xml:space="preserve">Khách</t>
  </si>
  <si>
    <t xml:space="preserve">FR-02, AC-02.3</t>
  </si>
  <si>
    <t xml:space="preserve">Giữ</t>
  </si>
  <si>
    <t xml:space="preserve">—</t>
  </si>
  <si>
    <t xml:space="preserve">Cổng đăng nhập: nhận trang quay về và thao tác đang dở; xác nhận tài khoản (M5.3) hoặc xác minh NFC (M6.4) trước nếu cần (AC-02.3)</t>
  </si>
  <si>
    <t xml:space="preserve">M5.2</t>
  </si>
  <si>
    <t xml:space="preserve">Đăng ký</t>
  </si>
  <si>
    <t xml:space="preserve">/dang-ky</t>
  </si>
  <si>
    <t xml:space="preserve">FR-01</t>
  </si>
  <si>
    <t xml:space="preserve">Demo chỉ email (A-17)</t>
  </si>
  <si>
    <t xml:space="preserve">M5.3</t>
  </si>
  <si>
    <t xml:space="preserve">Xác nhận tài khoản</t>
  </si>
  <si>
    <t xml:space="preserve">/dang-ky/xac-nhan</t>
  </si>
  <si>
    <t xml:space="preserve">M5.4</t>
  </si>
  <si>
    <t xml:space="preserve">Quên mật khẩu</t>
  </si>
  <si>
    <t xml:space="preserve">/quen-mat-khau</t>
  </si>
  <si>
    <t xml:space="preserve">FR-02</t>
  </si>
  <si>
    <t xml:space="preserve">M5.5</t>
  </si>
  <si>
    <t xml:space="preserve">Đặt lại mật khẩu</t>
  </si>
  <si>
    <t xml:space="preserve">/dat-lai-mat-khau</t>
  </si>
  <si>
    <t xml:space="preserve">M6.0</t>
  </si>
  <si>
    <t xml:space="preserve">Tài khoản của tôi</t>
  </si>
  <si>
    <t xml:space="preserve">/tai-khoan</t>
  </si>
  <si>
    <t xml:space="preserve">FR-02 (AC-02.2)</t>
  </si>
  <si>
    <t xml:space="preserve">Khối "Việc cần bạn": maket chờ duyệt, báo giá mới, phần còn lại cần trả. Menu theo bảng nhãn</t>
  </si>
  <si>
    <t xml:space="preserve">M6.1</t>
  </si>
  <si>
    <t xml:space="preserve">Đơn hàng</t>
  </si>
  <si>
    <t xml:space="preserve">/tai-khoan/don-hang</t>
  </si>
  <si>
    <t xml:space="preserve">FR-10 (AC-10.3), FR-02</t>
  </si>
  <si>
    <t xml:space="preserve">F1, F2</t>
  </si>
  <si>
    <t xml:space="preserve">Hai tab: Mua hàng có sẵn (nhóm theo lần thanh toán) · Đặt theo yêu cầu</t>
  </si>
  <si>
    <t xml:space="preserve">M6.1.1</t>
  </si>
  <si>
    <t xml:space="preserve">Chi tiết đơn hàng có sẵn</t>
  </si>
  <si>
    <t xml:space="preserve">/tai-khoan/don-hang/:orderId</t>
  </si>
  <si>
    <t xml:space="preserve">FR-10, FR-11, FR-25</t>
  </si>
  <si>
    <t xml:space="preserve">F1, F5</t>
  </si>
  <si>
    <t xml:space="preserve">Trạng thái, mã vận đơn, xác nhận đã nhận, đánh giá, tải hóa đơn, lối khiếu nại Cùng đường dẫn với M6.1.2: trang tải đơn rồi chọn template theo loại đơn (Đ6)</t>
  </si>
  <si>
    <t xml:space="preserve">M6.1.2</t>
  </si>
  <si>
    <t xml:space="preserve">Chi tiết đơn đặt hàng</t>
  </si>
  <si>
    <t xml:space="preserve">FR-20, FR-21, FR-22, FR-25, FR-23 (hoãn)</t>
  </si>
  <si>
    <t xml:space="preserve">F2, F3, F5</t>
  </si>
  <si>
    <t xml:space="preserve">Tab: Tiến độ · Maket · Thanh toán · Hóa đơn. Nút "Đặt lại" ẩn trong demo Cùng đường dẫn với M6.1.1, chọn template theo loại đơn (Đ6)</t>
  </si>
  <si>
    <t xml:space="preserve">M6.1.3</t>
  </si>
  <si>
    <t xml:space="preserve">Khiếu nại của đơn</t>
  </si>
  <si>
    <t xml:space="preserve">Form + trạng thái</t>
  </si>
  <si>
    <t xml:space="preserve">/tai-khoan/don-hang/:orderId/khieu-nai</t>
  </si>
  <si>
    <t xml:space="preserve">Nút "Báo vấn đề với đơn" chỉ hiện khi đã giao và còn hạn (3 ngày nội thành, 7 ngày liên tỉnh / đặt hàng, Q-10 tạm)</t>
  </si>
  <si>
    <t xml:space="preserve">FR-12, FR-49 (kết quả)</t>
  </si>
  <si>
    <t xml:space="preserve">F5</t>
  </si>
  <si>
    <t xml:space="preserve">Chưa có khiếu nại: form lý do, mô tả, ảnh. Đã có: trạng thái, quyết định, số tiền hoàn. Lối vào từ M6.1.1 và M6.1.2</t>
  </si>
  <si>
    <t xml:space="preserve">M6.2</t>
  </si>
  <si>
    <t xml:space="preserve">Yêu cầu và báo giá</t>
  </si>
  <si>
    <t xml:space="preserve">/tai-khoan/yeu-cau</t>
  </si>
  <si>
    <t xml:space="preserve">FR-15, FR-16 (AC-16.3)</t>
  </si>
  <si>
    <t xml:space="preserve">Cột loại: "Gửi nhiều nơi" / "Gửi riêng [đơn vị]"; số người bán được mời, số báo giá</t>
  </si>
  <si>
    <t xml:space="preserve">M6.2.1</t>
  </si>
  <si>
    <t xml:space="preserve">Chi tiết yêu cầu và so sánh báo giá</t>
  </si>
  <si>
    <t xml:space="preserve">/tai-khoan/yeu-cau/:requestId</t>
  </si>
  <si>
    <t xml:space="preserve">FR-17, FR-18 (hoãn)</t>
  </si>
  <si>
    <t xml:space="preserve">Bảng báo giá cạnh nhau. Yêu cầu đã chốt → liên kết sang đơn đặt hàng</t>
  </si>
  <si>
    <t xml:space="preserve">M6.2.2</t>
  </si>
  <si>
    <t xml:space="preserve">Chấp nhận báo giá và đặt cọc</t>
  </si>
  <si>
    <t xml:space="preserve">/tai-khoan/yeu-cau/:requestId/dat-coc</t>
  </si>
  <si>
    <t xml:space="preserve">FR-19, FR-24</t>
  </si>
  <si>
    <t xml:space="preserve">M6.3</t>
  </si>
  <si>
    <t xml:space="preserve">Địa chỉ giao hàng</t>
  </si>
  <si>
    <t xml:space="preserve">/tai-khoan/dia-chi</t>
  </si>
  <si>
    <t xml:space="preserve">FR-03</t>
  </si>
  <si>
    <t xml:space="preserve">M6.3.1</t>
  </si>
  <si>
    <t xml:space="preserve">Thêm / sửa địa chỉ</t>
  </si>
  <si>
    <t xml:space="preserve">/tai-khoan/dia-chi/:addressId</t>
  </si>
  <si>
    <t xml:space="preserve">M6.3.2</t>
  </si>
  <si>
    <t xml:space="preserve">Xóa địa chỉ</t>
  </si>
  <si>
    <t xml:space="preserve">M6.4</t>
  </si>
  <si>
    <t xml:space="preserve">Xác minh danh tính</t>
  </si>
  <si>
    <t xml:space="preserve">/tai-khoan/xac-minh</t>
  </si>
  <si>
    <t xml:space="preserve">Cũng mở như bước chen từ M3.1, M3.4, M7.1</t>
  </si>
  <si>
    <t xml:space="preserve">FR-04</t>
  </si>
  <si>
    <t xml:space="preserve">F6</t>
  </si>
  <si>
    <t xml:space="preserve">Mã QR, trạng thái phiên; xong tự quay về bước đang làm</t>
  </si>
  <si>
    <t xml:space="preserve">M6.5</t>
  </si>
  <si>
    <t xml:space="preserve">Thông tin cá nhân</t>
  </si>
  <si>
    <t xml:space="preserve">/tai-khoan/thong-tin</t>
  </si>
  <si>
    <t xml:space="preserve">FR-02, AC-04.12</t>
  </si>
  <si>
    <t xml:space="preserve">Họ tên, email, trạng thái xác minh, số định danh đã che</t>
  </si>
  <si>
    <t xml:space="preserve">M6.6</t>
  </si>
  <si>
    <t xml:space="preserve">Thông báo</t>
  </si>
  <si>
    <t xml:space="preserve">Trang dùng chung</t>
  </si>
  <si>
    <t xml:space="preserve">/thong-bao</t>
  </si>
  <si>
    <t xml:space="preserve">Người mua, Chủ người bán</t>
  </si>
  <si>
    <t xml:space="preserve">NFR-10, AC-10.2, AC-21.2</t>
  </si>
  <si>
    <t xml:space="preserve">F1–F5</t>
  </si>
  <si>
    <t xml:space="preserve">Dùng chung hai khu (Đ7): một hộp mỗi tài khoản, chuông ở thanh trên của khu mua hàng và Kênh người bán, lọc Mua / Bán; mỗi thông báo mở đúng trang ở đúng khu. Giữ mã M6.6 dù không còn nằm dưới Tài khoản</t>
  </si>
  <si>
    <t xml:space="preserve">M7.0</t>
  </si>
  <si>
    <t xml:space="preserve">Bán hàng trên Moonkage</t>
  </si>
  <si>
    <t xml:space="preserve">/ban-hang/gioi-thieu</t>
  </si>
  <si>
    <t xml:space="preserve">Ẩn khi tài khoản đã làm chủ người bán</t>
  </si>
  <si>
    <t xml:space="preserve">AC-26.4, AC-26.9</t>
  </si>
  <si>
    <t xml:space="preserve">F4</t>
  </si>
  <si>
    <t xml:space="preserve">Điều kiện, hai cách bán, phí 200.000đ đóng sau khi duyệt; công ty liên hệ đội vận hành (BR-33)</t>
  </si>
  <si>
    <t xml:space="preserve">M7.1</t>
  </si>
  <si>
    <t xml:space="preserve">Khai hồ sơ người bán</t>
  </si>
  <si>
    <t xml:space="preserve">Form nhiều bước</t>
  </si>
  <si>
    <t xml:space="preserve">/ban-hang/dang-ky</t>
  </si>
  <si>
    <t xml:space="preserve">Chưa xác minh → M6.4</t>
  </si>
  <si>
    <t xml:space="preserve">FR-26, BR-27, BR-33</t>
  </si>
  <si>
    <t xml:space="preserve">Bước: loại hình (HKD/DNTN) → đơn vị → chủ hộ → giấy tờ → nguồn hàng, cách bán → xem lại</t>
  </si>
  <si>
    <t xml:space="preserve">M8.0</t>
  </si>
  <si>
    <t xml:space="preserve">Chính sách mua bán</t>
  </si>
  <si>
    <t xml:space="preserve">Trang tĩnh</t>
  </si>
  <si>
    <t xml:space="preserve">/chinh-sach</t>
  </si>
  <si>
    <t xml:space="preserve">(ngoài Requirement)</t>
  </si>
  <si>
    <t xml:space="preserve">Thời hạn khiếu nại, giữ tiền, giao liên tỉnh. Cần nhóm duyệt trước khi thêm</t>
  </si>
  <si>
    <t xml:space="preserve">B1.0</t>
  </si>
  <si>
    <t xml:space="preserve">B</t>
  </si>
  <si>
    <t xml:space="preserve">Tổng quan</t>
  </si>
  <si>
    <t xml:space="preserve">/kenh-ban</t>
  </si>
  <si>
    <t xml:space="preserve">Chủ người bán</t>
  </si>
  <si>
    <t xml:space="preserve">Trước khi mở bán: chỉ hiện trạng thái hồ sơ và phí</t>
  </si>
  <si>
    <t xml:space="preserve">FR-27</t>
  </si>
  <si>
    <t xml:space="preserve">Việc cần làm: đơn mới, yêu cầu mới, maket bị yêu cầu sửa, đơn chưa có hóa đơn</t>
  </si>
  <si>
    <t xml:space="preserve">B1.1</t>
  </si>
  <si>
    <t xml:space="preserve">Đóng phí mở bán</t>
  </si>
  <si>
    <t xml:space="preserve">/kenh-ban/phi-mo-ban</t>
  </si>
  <si>
    <t xml:space="preserve">Hồ sơ đã duyệt, chưa đóng phí</t>
  </si>
  <si>
    <t xml:space="preserve">FR-27 (AC-27.4, 27.5), FR-53</t>
  </si>
  <si>
    <t xml:space="preserve">→ VNPay (M4.2)</t>
  </si>
  <si>
    <t xml:space="preserve">B2.0</t>
  </si>
  <si>
    <t xml:space="preserve">/kenh-ban/don-hang</t>
  </si>
  <si>
    <t xml:space="preserve">Tab theo cách bán đã bật</t>
  </si>
  <si>
    <t xml:space="preserve">FR-32, FR-44 (AC-44.3)</t>
  </si>
  <si>
    <t xml:space="preserve">Tab: Đơn Shop · Đơn đặt hàng. Lọc "Chưa có hóa đơn". Nhãn "Đang khiếu nại" trên dòng đơn</t>
  </si>
  <si>
    <t xml:space="preserve">B2.1</t>
  </si>
  <si>
    <t xml:space="preserve">Chi tiết đơn Shop</t>
  </si>
  <si>
    <t xml:space="preserve">/kenh-ban/don-hang/:orderId</t>
  </si>
  <si>
    <t xml:space="preserve">Có Shop</t>
  </si>
  <si>
    <t xml:space="preserve">FR-32, FR-44</t>
  </si>
  <si>
    <t xml:space="preserve">Xác nhận → Đang giao (mã vận đơn nếu liên tỉnh) → Đã giao; gắn hóa đơn; khối Khiếu nại (xem, gửi phản hồi: đề xuất) Cùng đường dẫn với B2.2, chọn template theo loại đơn (Đ6)</t>
  </si>
  <si>
    <t xml:space="preserve">B2.2</t>
  </si>
  <si>
    <t xml:space="preserve">Nhận đặt hàng</t>
  </si>
  <si>
    <t xml:space="preserve">FR-39, FR-40, FR-41, FR-42, FR-44</t>
  </si>
  <si>
    <t xml:space="preserve">Tab: Maket · Tiến độ · Giải ngân · Hóa đơn; khối Khiếu nại khi có Cùng đường dẫn với B2.1, chọn template theo loại đơn (Đ6)</t>
  </si>
  <si>
    <t xml:space="preserve">B3.0</t>
  </si>
  <si>
    <t xml:space="preserve">Yêu cầu báo giá</t>
  </si>
  <si>
    <t xml:space="preserve">/kenh-ban/yeu-cau</t>
  </si>
  <si>
    <t xml:space="preserve">FR-36</t>
  </si>
  <si>
    <t xml:space="preserve">Tab: Mới · Đã báo giá · Đã đóng. Gộp yêu cầu riêng và lời mời</t>
  </si>
  <si>
    <t xml:space="preserve">B3.1</t>
  </si>
  <si>
    <t xml:space="preserve">Chi tiết yêu cầu</t>
  </si>
  <si>
    <t xml:space="preserve">/kenh-ban/yeu-cau/:requestId</t>
  </si>
  <si>
    <t xml:space="preserve">FR-36, FR-38 (AC-38.3)</t>
  </si>
  <si>
    <t xml:space="preserve">Từ chối kèm lý do; thu hồi báo giá đã gửi</t>
  </si>
  <si>
    <t xml:space="preserve">B3.2</t>
  </si>
  <si>
    <t xml:space="preserve">Soạn báo giá</t>
  </si>
  <si>
    <t xml:space="preserve">/kenh-ban/yeu-cau/:requestId/bao-gia</t>
  </si>
  <si>
    <t xml:space="preserve">FR-38, FR-37 (hoãn)</t>
  </si>
  <si>
    <t xml:space="preserve">Đơn giá gợi ý theo bậc giá; cảnh báo công suất hoãn</t>
  </si>
  <si>
    <t xml:space="preserve">B4.0</t>
  </si>
  <si>
    <t xml:space="preserve">Sản phẩm</t>
  </si>
  <si>
    <t xml:space="preserve">/kenh-ban/san-pham</t>
  </si>
  <si>
    <t xml:space="preserve">FR-30, FR-34</t>
  </si>
  <si>
    <t xml:space="preserve">F7</t>
  </si>
  <si>
    <t xml:space="preserve">Tab: Đang bán · Đang ẩn · Bị gỡ. Không có thao tác xóa</t>
  </si>
  <si>
    <t xml:space="preserve">B4.1</t>
  </si>
  <si>
    <t xml:space="preserve">Thêm / sửa sản phẩm</t>
  </si>
  <si>
    <t xml:space="preserve">/kenh-ban/san-pham/:productId</t>
  </si>
  <si>
    <t xml:space="preserve">Sản phẩm bị gỡ: chỉ xem</t>
  </si>
  <si>
    <t xml:space="preserve">FR-29, FR-30, FR-31, FR-33</t>
  </si>
  <si>
    <t xml:space="preserve">Chọn ít nhất một vỏ, một nhân (nhiều được) từ danh mục; để trống thương hiệu thì lấy tên đơn vị (trừ người bán thuần bán lại)</t>
  </si>
  <si>
    <t xml:space="preserve">B5.0</t>
  </si>
  <si>
    <t xml:space="preserve">Tiền</t>
  </si>
  <si>
    <t xml:space="preserve">/kenh-ban/tien</t>
  </si>
  <si>
    <t xml:space="preserve">FR-43, FR-41</t>
  </si>
  <si>
    <t xml:space="preserve">Có thể bỏ trang trung chuyển, menu mở thẳng B5.1</t>
  </si>
  <si>
    <t xml:space="preserve">B5.1</t>
  </si>
  <si>
    <t xml:space="preserve">Đối soát</t>
  </si>
  <si>
    <t xml:space="preserve">/kenh-ban/tien/doi-soat</t>
  </si>
  <si>
    <t xml:space="preserve">FR-43</t>
  </si>
  <si>
    <t xml:space="preserve">Demo: chỉ xem bảng, chưa lọc và xuất file</t>
  </si>
  <si>
    <t xml:space="preserve">B5.2</t>
  </si>
  <si>
    <t xml:space="preserve">Giải ngân cọc</t>
  </si>
  <si>
    <t xml:space="preserve">/kenh-ban/tien/giai-ngan</t>
  </si>
  <si>
    <t xml:space="preserve">FR-41</t>
  </si>
  <si>
    <t xml:space="preserve">Danh sách + trạng thái; tạo mới từ B2.2 hoặc tại đây</t>
  </si>
  <si>
    <t xml:space="preserve">B6.0</t>
  </si>
  <si>
    <t xml:space="preserve">Cài đặt bán hàng</t>
  </si>
  <si>
    <t xml:space="preserve">/kenh-ban/cai-dat</t>
  </si>
  <si>
    <t xml:space="preserve">FR-27, FR-28, FR-35</t>
  </si>
  <si>
    <t xml:space="preserve">B6.1</t>
  </si>
  <si>
    <t xml:space="preserve">Thông tin pháp lý</t>
  </si>
  <si>
    <t xml:space="preserve">/kenh-ban/cai-dat/phap-ly</t>
  </si>
  <si>
    <t xml:space="preserve">Cần bổ sung / bị từ chối: nộp lại được</t>
  </si>
  <si>
    <t xml:space="preserve">FR-27 (AC-27.2, 27.6), FR-26</t>
  </si>
  <si>
    <t xml:space="preserve">Chỉ xem sau khi duyệt (Q-26); tải hóa đơn phí mở bán</t>
  </si>
  <si>
    <t xml:space="preserve">B6.2</t>
  </si>
  <si>
    <t xml:space="preserve">Vùng giao và phí giao</t>
  </si>
  <si>
    <t xml:space="preserve">/kenh-ban/cai-dat/vung-giao</t>
  </si>
  <si>
    <t xml:space="preserve">Đã duyệt</t>
  </si>
  <si>
    <t xml:space="preserve">FR-28</t>
  </si>
  <si>
    <t xml:space="preserve">B6.3</t>
  </si>
  <si>
    <t xml:space="preserve">Điều kiện nhận đặt hàng</t>
  </si>
  <si>
    <t xml:space="preserve">/kenh-ban/cai-dat/nhan-dat-hang</t>
  </si>
  <si>
    <t xml:space="preserve">FR-35</t>
  </si>
  <si>
    <t xml:space="preserve">Lời của US-35: "khai điều kiện nhận đặt hàng". Vỏ và nhân làm được chọn từ cùng danh mục FR-54</t>
  </si>
  <si>
    <t xml:space="preserve">B6.4</t>
  </si>
  <si>
    <t xml:space="preserve">Lịch công suất</t>
  </si>
  <si>
    <t xml:space="preserve">/kenh-ban/cai-dat/cong-suat</t>
  </si>
  <si>
    <t xml:space="preserve">Tự sản xuất</t>
  </si>
  <si>
    <t xml:space="preserve">FR-37</t>
  </si>
  <si>
    <t xml:space="preserve">Q1.0</t>
  </si>
  <si>
    <t xml:space="preserve">Q</t>
  </si>
  <si>
    <t xml:space="preserve">/quan-tri</t>
  </si>
  <si>
    <t xml:space="preserve">FR-45, FR-47, FR-48, FR-49, FR-51 (hàng chờ)</t>
  </si>
  <si>
    <t xml:space="preserve">F4, F5</t>
  </si>
  <si>
    <t xml:space="preserve">Số việc chờ của từng hàng + đơn bị đánh dấu đối soát (AC-51.4)</t>
  </si>
  <si>
    <t xml:space="preserve">Q2.0</t>
  </si>
  <si>
    <t xml:space="preserve">Người bán</t>
  </si>
  <si>
    <t xml:space="preserve">/quan-tri/nguoi-ban</t>
  </si>
  <si>
    <t xml:space="preserve">FR-45, FR-46</t>
  </si>
  <si>
    <t xml:space="preserve">Tab: Chờ duyệt · Cần bổ sung · Đã duyệt · Bị khóa · Bị từ chối</t>
  </si>
  <si>
    <t xml:space="preserve">Q2.1</t>
  </si>
  <si>
    <t xml:space="preserve">Hồ sơ người bán</t>
  </si>
  <si>
    <t xml:space="preserve">/quan-tri/nguoi-ban/:vendorId</t>
  </si>
  <si>
    <t xml:space="preserve">Kết quả so định danh, ô xác nhận đối chiếu, duyệt / bổ sung / từ chối; khóa. Tab Lịch sử: các lần nộp, kết quả so chủ, quyết định và người duyệt (Đ5, AC-45.4)</t>
  </si>
  <si>
    <t xml:space="preserve">Q3.0</t>
  </si>
  <si>
    <t xml:space="preserve">/quan-tri/san-pham</t>
  </si>
  <si>
    <t xml:space="preserve">FR-46</t>
  </si>
  <si>
    <t xml:space="preserve">Tìm và gỡ kèm lý do</t>
  </si>
  <si>
    <t xml:space="preserve">Q4.0</t>
  </si>
  <si>
    <t xml:space="preserve">/quan-tri/tien</t>
  </si>
  <si>
    <t xml:space="preserve">FR-47, FR-48, FR-51</t>
  </si>
  <si>
    <t xml:space="preserve">Q4.1</t>
  </si>
  <si>
    <t xml:space="preserve">Duyệt giải ngân</t>
  </si>
  <si>
    <t xml:space="preserve">/quan-tri/tien/giai-ngan</t>
  </si>
  <si>
    <t xml:space="preserve">FR-47</t>
  </si>
  <si>
    <t xml:space="preserve">Ghi sổ (A-12). Kèm các lần giải ngân trước của đơn (Đ5, AC-47.1)</t>
  </si>
  <si>
    <t xml:space="preserve">Q4.2</t>
  </si>
  <si>
    <t xml:space="preserve">Chuyển tiền cho người bán</t>
  </si>
  <si>
    <t xml:space="preserve">/quan-tri/tien/chuyen-tien</t>
  </si>
  <si>
    <t xml:space="preserve">FR-48</t>
  </si>
  <si>
    <t xml:space="preserve">Chỉ liệt kê đơn đủ điều kiện; chặn khi có khiếu nại</t>
  </si>
  <si>
    <t xml:space="preserve">Q4.3</t>
  </si>
  <si>
    <t xml:space="preserve">/quan-tri/tien/doi-soat</t>
  </si>
  <si>
    <t xml:space="preserve">FR-51</t>
  </si>
  <si>
    <t xml:space="preserve">Gồm phí mở bán đã thu</t>
  </si>
  <si>
    <t xml:space="preserve">Q5.0</t>
  </si>
  <si>
    <t xml:space="preserve">Khiếu nại</t>
  </si>
  <si>
    <t xml:space="preserve">/quan-tri/khieu-nai</t>
  </si>
  <si>
    <t xml:space="preserve">FR-49</t>
  </si>
  <si>
    <t xml:space="preserve">Tab: Đang mở · Đã quyết định · Cần xử lý tay</t>
  </si>
  <si>
    <t xml:space="preserve">Q5.1</t>
  </si>
  <si>
    <t xml:space="preserve">Xử lý khiếu nại</t>
  </si>
  <si>
    <t xml:space="preserve">/quan-tri/khieu-nai/:disputeId</t>
  </si>
  <si>
    <t xml:space="preserve">Xem đơn, báo giá, maket, tiến độ, bằng chứng hai bên, sổ tiền (đang giữ, đã giải ngân, tối đa hoàn được); hoàn toàn bộ / một phần / bác kèm lý do</t>
  </si>
  <si>
    <t xml:space="preserve">Q6.0</t>
  </si>
  <si>
    <t xml:space="preserve">Cấu hình</t>
  </si>
  <si>
    <t xml:space="preserve">/quan-tri/cau-hinh</t>
  </si>
  <si>
    <t xml:space="preserve">FR-52, FR-53, FR-54, FR-50</t>
  </si>
  <si>
    <t xml:space="preserve">Q6.1</t>
  </si>
  <si>
    <t xml:space="preserve">Phí giao liên tỉnh</t>
  </si>
  <si>
    <t xml:space="preserve">/quan-tri/cau-hinh/phi-lien-tinh</t>
  </si>
  <si>
    <t xml:space="preserve">FR-52</t>
  </si>
  <si>
    <t xml:space="preserve">Không cho lưu khi thiếu tỉnh (AC-52.3)</t>
  </si>
  <si>
    <t xml:space="preserve">Q6.2</t>
  </si>
  <si>
    <t xml:space="preserve">Phí đăng ký mở bán</t>
  </si>
  <si>
    <t xml:space="preserve">/quan-tri/cau-hinh/phi-mo-ban</t>
  </si>
  <si>
    <t xml:space="preserve">FR-53</t>
  </si>
  <si>
    <t xml:space="preserve">Q6.3</t>
  </si>
  <si>
    <t xml:space="preserve">Voucher</t>
  </si>
  <si>
    <t xml:space="preserve">/quan-tri/cau-hinh/voucher</t>
  </si>
  <si>
    <t xml:space="preserve">FR-50</t>
  </si>
  <si>
    <t xml:space="preserve">Q6.4</t>
  </si>
  <si>
    <t xml:space="preserve">Vỏ và nhân bánh</t>
  </si>
  <si>
    <t xml:space="preserve">/quan-tri/cau-hinh/vo-nhan</t>
  </si>
  <si>
    <t xml:space="preserve">FR-54</t>
  </si>
  <si>
    <t xml:space="preserve">Hai tab Vỏ · Nhân; thêm, đổi tên, kéo đổi thứ tự, ẩn / hiện; không xóa; không ẩn được giá trị cuối cùng của một nhóm</t>
  </si>
  <si>
    <t xml:space="preserve">V1</t>
  </si>
  <si>
    <t xml:space="preserve">V</t>
  </si>
  <si>
    <t xml:space="preserve">Màn app</t>
  </si>
  <si>
    <t xml:space="preserve">(app)</t>
  </si>
  <si>
    <t xml:space="preserve">FR-04 (AC-04.2)</t>
  </si>
  <si>
    <t xml:space="preserve">Đã có (app)</t>
  </si>
  <si>
    <t xml:space="preserve">Theo Flutter_App_Plan</t>
  </si>
  <si>
    <t xml:space="preserve">V2</t>
  </si>
  <si>
    <t xml:space="preserve">Quét mã QR</t>
  </si>
  <si>
    <t xml:space="preserve">V3</t>
  </si>
  <si>
    <t xml:space="preserve">Chạm thẻ</t>
  </si>
  <si>
    <t xml:space="preserve">Máy không có NFC → báo dùng máy khác</t>
  </si>
  <si>
    <t xml:space="preserve">FR-04 (AC-04.3)</t>
  </si>
  <si>
    <t xml:space="preserve">V4</t>
  </si>
  <si>
    <t xml:space="preserve">Kiểm tra thông tin</t>
  </si>
  <si>
    <t xml:space="preserve">FR-04 (AC-04.4)</t>
  </si>
  <si>
    <t xml:space="preserve">Lưu / Hủy</t>
  </si>
  <si>
    <t xml:space="preserve">V5</t>
  </si>
  <si>
    <t xml:space="preserve">Kết quả</t>
  </si>
  <si>
    <t xml:space="preserve">Loại điều hướng</t>
  </si>
  <si>
    <t xml:space="preserve">Thứ tự</t>
  </si>
  <si>
    <t xml:space="preserve">Nhãn</t>
  </si>
  <si>
    <t xml:space="preserve">Đích</t>
  </si>
  <si>
    <t xml:space="preserve">Mua hàng</t>
  </si>
  <si>
    <t xml:space="preserve">Toàn cục</t>
  </si>
  <si>
    <t xml:space="preserve">Ô tìm kiếm</t>
  </si>
  <si>
    <t xml:space="preserve">Mọi người</t>
  </si>
  <si>
    <t xml:space="preserve">Sản phẩm theo khu vực đang chọn; từ khóa khớp tên đơn vị nhận đặt hàng thì trang kết quả có thêm khối Đơn vị cung cấp, tách khỏi danh sách sản phẩm (AC-14.5, Đ2)</t>
  </si>
  <si>
    <t xml:space="preserve">Chốt theo tree test (Đ1, cây B)</t>
  </si>
  <si>
    <t xml:space="preserve">Đặt theo yêu cầu ▾</t>
  </si>
  <si>
    <t xml:space="preserve">Chốt theo tree test (Đ1, cây B). Menu con: Tạo yêu cầu báo giá (M3.1), Đơn vị cung cấp (M3.2)</t>
  </si>
  <si>
    <t xml:space="preserve">Giao tới: [tỉnh/thành]</t>
  </si>
  <si>
    <t xml:space="preserve">Số món. Khách bấm thì sang đăng nhập rồi quay về; không có giỏ của khách (AC-02.3, Đ4)</t>
  </si>
  <si>
    <t xml:space="preserve">Đã đăng nhập</t>
  </si>
  <si>
    <t xml:space="preserve">Chuông dùng chung hai khu, một hộp mỗi tài khoản, lọc Mua / Bán; có aria-label (Đ7)</t>
  </si>
  <si>
    <t xml:space="preserve">Tài khoản ▾ / Đăng nhập</t>
  </si>
  <si>
    <t xml:space="preserve">M6.0 / M5.1</t>
  </si>
  <si>
    <t xml:space="preserve">Khách thấy Đăng nhập</t>
  </si>
  <si>
    <t xml:space="preserve">Menu Tài khoản</t>
  </si>
  <si>
    <t xml:space="preserve">Menu</t>
  </si>
  <si>
    <t xml:space="preserve">Hiện trạng thái: chưa / đã xác minh</t>
  </si>
  <si>
    <t xml:space="preserve">Chưa làm chủ người bán</t>
  </si>
  <si>
    <t xml:space="preserve">Đã làm chủ người bán (mọi trạng thái hồ sơ)</t>
  </si>
  <si>
    <t xml:space="preserve">Đăng xuất</t>
  </si>
  <si>
    <t xml:space="preserve">Footer</t>
  </si>
  <si>
    <t xml:space="preserve">Ẩn trước khi mở bán</t>
  </si>
  <si>
    <t xml:space="preserve">Ẩn khi không nhận đặt hàng hoặc trước khi mở bán</t>
  </si>
  <si>
    <t xml:space="preserve">Ẩn khi không có Shop hoặc trước khi mở bán</t>
  </si>
  <si>
    <t xml:space="preserve">Cùng hộp với khu mua hàng, mở sẵn bộ lọc Bán (Đ7)</t>
  </si>
  <si>
    <t xml:space="preserve">↩ Về trang mua hàng</t>
  </si>
  <si>
    <t xml:space="preserve">Mọi khu</t>
  </si>
  <si>
    <t xml:space="preserve">Mẫu</t>
  </si>
  <si>
    <t xml:space="preserve">Cổng đăng nhập</t>
  </si>
  <si>
    <t xml:space="preserve">M5.1 → trang cũ</t>
  </si>
  <si>
    <t xml:space="preserve">Thao tác cần tài khoản (thêm vào giỏ, gửi yêu cầu, tạo yêu cầu báo giá, khai hồ sơ người bán): đăng nhập, xác nhận tài khoản hoặc xác minh NFC nếu cần, rồi quay về. Thêm vào giỏ tự thực hiện; form mở lại với dữ liệu đã nhập để người dùng tự gửi (AC-02.3, Đ4)</t>
  </si>
  <si>
    <t xml:space="preserve">Đường dẫn chi tiết đơn</t>
  </si>
  <si>
    <t xml:space="preserve">/tai-khoan/don-hang/:orderId · /kenh-ban/don-hang/:orderId</t>
  </si>
  <si>
    <t xml:space="preserve">Một đường dẫn cho hai loại đơn; trang tải đơn rồi chọn template theo loại đơn. Mọi liên kết tới đơn chỉ cần mã đơn (Đ6)</t>
  </si>
  <si>
    <t xml:space="preserve">Cục bộ</t>
  </si>
  <si>
    <t xml:space="preserve">Lịch sử trong trang đối tượng</t>
  </si>
  <si>
    <t xml:space="preserve">Q2.1, Q4.1, Q5.1</t>
  </si>
  <si>
    <t xml:space="preserve">Không có trang nhật ký chung; lịch sử duyệt, giải ngân, tiến độ hiện ngay trong trang ra quyết định (Đ5)</t>
  </si>
  <si>
    <t xml:space="preserve">Số hồ sơ chờ</t>
  </si>
  <si>
    <t xml:space="preserve">Số giải ngân + chuyển tiền chờ</t>
  </si>
  <si>
    <t xml:space="preserve">Số khiếu nại mở</t>
  </si>
  <si>
    <t xml:space="preserve">Nhãn hiện tại</t>
  </si>
  <si>
    <t xml:space="preserve">Nhãn đề xuất</t>
  </si>
  <si>
    <t xml:space="preserve">Xuất hiện ở</t>
  </si>
  <si>
    <t xml:space="preserve">Lý do</t>
  </si>
  <si>
    <t xml:space="preserve">MoonCage</t>
  </si>
  <si>
    <t xml:space="preserve">Moonkage</t>
  </si>
  <si>
    <t xml:space="preserve">Mọi nơi</t>
  </si>
  <si>
    <t xml:space="preserve">Tên đúng của sản phẩm</t>
  </si>
  <si>
    <t xml:space="preserve">Hồ sơ (menu tài khoản)</t>
  </si>
  <si>
    <t xml:space="preserve">Tránh trùng 'hồ sơ người bán', 'hồ sơ nhận đặt hàng'</t>
  </si>
  <si>
    <t xml:space="preserve">Yêu cầu (menu tài khoản)</t>
  </si>
  <si>
    <t xml:space="preserve">Trở thành người bán</t>
  </si>
  <si>
    <t xml:space="preserve">Bán hàng trên Moonkage / Kênh người bán</t>
  </si>
  <si>
    <t xml:space="preserve">Menu tài khoản</t>
  </si>
  <si>
    <t xml:space="preserve">Một vị trí, đổi nhãn theo trạng thái</t>
  </si>
  <si>
    <t xml:space="preserve">Yêu cầu mở</t>
  </si>
  <si>
    <t xml:space="preserve">Yêu cầu báo giá (nút: Tạo yêu cầu báo giá)</t>
  </si>
  <si>
    <t xml:space="preserve">M3.1, M6.2</t>
  </si>
  <si>
    <t xml:space="preserve">Lời người dùng</t>
  </si>
  <si>
    <t xml:space="preserve">Yêu cầu trực tiếp</t>
  </si>
  <si>
    <t xml:space="preserve">Gửi yêu cầu cho [tên đơn vị]; danh sách: 'Gửi riêng [đơn vị]'</t>
  </si>
  <si>
    <t xml:space="preserve">M3.4, M6.2</t>
  </si>
  <si>
    <t xml:space="preserve">Nói rõ gửi cho ai</t>
  </si>
  <si>
    <t xml:space="preserve">Mua hàng có sẵn / Đặt theo yêu cầu (nhãn cấp 1)</t>
  </si>
  <si>
    <t xml:space="preserve">Đã chốt 23/10 theo tree test (Đ1): cây B thắng hoặc hòa ở nhóm nhiệm vụ phân nhánh. Thay cho 'Mua lẻ' / 'Đặt số lượng lớn'</t>
  </si>
  <si>
    <t xml:space="preserve">Menu, M2.0, M3.0, trang chủ, tab Đơn hàng</t>
  </si>
  <si>
    <t xml:space="preserve">Nhãn cũ lấy số lượng làm ranh giới; BR-03 lấy 'có sẵn hay phải thỏa thuận' (vượt tồn kho, phải sản xuất, in logo, ngưỡng của từng người bán). Context mục 4 gọi hai kiểu là 'mua lẻ' và 'làm theo yêu cầu'. Requirement giữ thuật ngữ 'mua ngay' / 'đặt hàng'</t>
  </si>
  <si>
    <t xml:space="preserve">Hồ sơ người bán (phía người bán)</t>
  </si>
  <si>
    <t xml:space="preserve">Hồ sơ nhận đặt hàng (phía người bán)</t>
  </si>
  <si>
    <t xml:space="preserve">Lời US-35</t>
  </si>
  <si>
    <t xml:space="preserve">Maket</t>
  </si>
  <si>
    <t xml:space="preserve">Maket (chú thích: bản thiết kế in logo)</t>
  </si>
  <si>
    <t xml:space="preserve">M6.1.2, B2.2</t>
  </si>
  <si>
    <t xml:space="preserve">Giữ; tree test so với 'Xưởng và đại lý'</t>
  </si>
  <si>
    <t xml:space="preserve">M3.2, M3.3</t>
  </si>
  <si>
    <t xml:space="preserve">Thuật ngữ Requirement mục 12</t>
  </si>
  <si>
    <t xml:space="preserve">Đơn mua ngay (phía người bán)</t>
  </si>
  <si>
    <t xml:space="preserve">Đơn Shop</t>
  </si>
  <si>
    <t xml:space="preserve">Người bán quen chữ Shop</t>
  </si>
  <si>
    <t xml:space="preserve">Nhóm từ vựng</t>
  </si>
  <si>
    <t xml:space="preserve">Thuật ngữ chuẩn (hiển thị)</t>
  </si>
  <si>
    <t xml:space="preserve">Cấp cha</t>
  </si>
  <si>
    <t xml:space="preserve">Định nghĩa</t>
  </si>
  <si>
    <t xml:space="preserve">Từ đồng nghĩa / người dùng có thể gõ</t>
  </si>
  <si>
    <t xml:space="preserve">Nguồn</t>
  </si>
  <si>
    <t xml:space="preserve">Cách mua</t>
  </si>
  <si>
    <t xml:space="preserve">Mua hàng có sẵn trong tồn kho, giá niêm yết, trả ngay</t>
  </si>
  <si>
    <t xml:space="preserve">mua ngay, mua lẻ, đặt online</t>
  </si>
  <si>
    <t xml:space="preserve">BR-02</t>
  </si>
  <si>
    <t xml:space="preserve">Gửi yêu cầu, nhận báo giá, đặt cọc; bắt buộc khi vượt tồn kho, có custom, phải sản xuất hoặc đạt ngưỡng báo giá</t>
  </si>
  <si>
    <t xml:space="preserve">đặt hàng, đặt số lượng lớn, mua sỉ, đặt quà công ty, báo giá</t>
  </si>
  <si>
    <t xml:space="preserve">BR-03</t>
  </si>
  <si>
    <t xml:space="preserve">Vỏ bánh (danh mục ban đầu, quản trị sửa được – FR-54)</t>
  </si>
  <si>
    <t xml:space="preserve">Bánh nướng</t>
  </si>
  <si>
    <t xml:space="preserve">Nhóm phân loại theo vỏ; sản phẩm gắn ≥ 1, nhiều được; mã không đổi (banh-nuong…)</t>
  </si>
  <si>
    <t xml:space="preserve">nướng, dẻo, bánh tuyết, snow skin</t>
  </si>
  <si>
    <t xml:space="preserve">BR-34, A-19</t>
  </si>
  <si>
    <t xml:space="preserve">Bánh dẻo</t>
  </si>
  <si>
    <t xml:space="preserve">Bánh lạnh</t>
  </si>
  <si>
    <t xml:space="preserve">Khác</t>
  </si>
  <si>
    <t xml:space="preserve">Nhân bánh (danh mục ban đầu, quản trị sửa được – FR-54)</t>
  </si>
  <si>
    <t xml:space="preserve">Thập cẩm</t>
  </si>
  <si>
    <t xml:space="preserve">Nhóm phân loại theo nhân; sản phẩm gắn ≥ 1, nhiều được; 'đậu xanh trứng muối' gắn hai giá trị</t>
  </si>
  <si>
    <t xml:space="preserve">lạp xưởng, gà quay, matcha</t>
  </si>
  <si>
    <t xml:space="preserve">Đậu xanh</t>
  </si>
  <si>
    <t xml:space="preserve">Hạt sen</t>
  </si>
  <si>
    <t xml:space="preserve">Đậu đỏ</t>
  </si>
  <si>
    <t xml:space="preserve">Khoai môn</t>
  </si>
  <si>
    <t xml:space="preserve">Trà xanh</t>
  </si>
  <si>
    <t xml:space="preserve">Sầu riêng</t>
  </si>
  <si>
    <t xml:space="preserve">Trứng muối</t>
  </si>
  <si>
    <t xml:space="preserve">Custom</t>
  </si>
  <si>
    <t xml:space="preserve">In logo lên túi</t>
  </si>
  <si>
    <t xml:space="preserve">Phạm vi custom duy nhất của nền tảng</t>
  </si>
  <si>
    <t xml:space="preserve">in logo, in tên công ty, quà có logo</t>
  </si>
  <si>
    <t xml:space="preserve">BR-14</t>
  </si>
  <si>
    <t xml:space="preserve">In logo lên thiệp</t>
  </si>
  <si>
    <t xml:space="preserve">In logo lên sticker</t>
  </si>
  <si>
    <t xml:space="preserve">In logo lên hộp mẫu có sẵn</t>
  </si>
  <si>
    <t xml:space="preserve">Nguồn hàng</t>
  </si>
  <si>
    <t xml:space="preserve">Người bán tự làm bánh hay phân phối hàng của thương hiệu khác</t>
  </si>
  <si>
    <t xml:space="preserve">xưởng, đại lý, nhà phân phối</t>
  </si>
  <si>
    <t xml:space="preserve">FR-26</t>
  </si>
  <si>
    <t xml:space="preserve">Bán lại</t>
  </si>
  <si>
    <t xml:space="preserve">Cả hai</t>
  </si>
  <si>
    <t xml:space="preserve">Cách bán (phía người mua)</t>
  </si>
  <si>
    <t xml:space="preserve">Có hàng sẵn</t>
  </si>
  <si>
    <t xml:space="preserve">Nhãn trên M3.2, M3.3; 'Chỉ nhận đặt hàng' = không có Shop</t>
  </si>
  <si>
    <t xml:space="preserve">Shop, bán lẻ, bán sỉ</t>
  </si>
  <si>
    <t xml:space="preserve">BR-21</t>
  </si>
  <si>
    <t xml:space="preserve">Chỉ nhận đặt hàng</t>
  </si>
  <si>
    <t xml:space="preserve">Nhãn giao</t>
  </si>
  <si>
    <t xml:space="preserve">Giao nội thành</t>
  </si>
  <si>
    <t xml:space="preserve">Toàn quốc chỉ cho sản phẩm đạt tiêu chuẩn đóng gói</t>
  </si>
  <si>
    <t xml:space="preserve">giao trong tỉnh, ship toàn quốc</t>
  </si>
  <si>
    <t xml:space="preserve">BR-13</t>
  </si>
  <si>
    <t xml:space="preserve">Giao toàn quốc</t>
  </si>
  <si>
    <t xml:space="preserve">Khu vực</t>
  </si>
  <si>
    <t xml:space="preserve">Tỉnh/thành theo danh mục hành chính hiện hành</t>
  </si>
  <si>
    <t xml:space="preserve">Đơn vị vùng giao (giá trị tạm)</t>
  </si>
  <si>
    <t xml:space="preserve">khu vực, tỉnh, thành phố</t>
  </si>
  <si>
    <t xml:space="preserve">Q-12</t>
  </si>
  <si>
    <t xml:space="preserve">Loại hình người bán</t>
  </si>
  <si>
    <t xml:space="preserve">Hộ kinh doanh</t>
  </si>
  <si>
    <t xml:space="preserve">Hai loại hình được khai trên hệ thống; công ty liên hệ đội vận hành</t>
  </si>
  <si>
    <t xml:space="preserve">HKD, DNTN</t>
  </si>
  <si>
    <t xml:space="preserve">BR-33</t>
  </si>
  <si>
    <t xml:space="preserve">Doanh nghiệp tư nhân</t>
  </si>
  <si>
    <t xml:space="preserve">Lý do khiếu nại</t>
  </si>
  <si>
    <t xml:space="preserve">Bánh sai</t>
  </si>
  <si>
    <t xml:space="preserve">bể, móp, sai mẫu, trễ hẹn</t>
  </si>
  <si>
    <t xml:space="preserve">FR-12</t>
  </si>
  <si>
    <t xml:space="preserve">Hỏng</t>
  </si>
  <si>
    <t xml:space="preserve">Giao trễ</t>
  </si>
  <si>
    <t xml:space="preserve">In sai logo</t>
  </si>
  <si>
    <t xml:space="preserve">Mục đích giải ngân</t>
  </si>
  <si>
    <t xml:space="preserve">Nguyên liệu</t>
  </si>
  <si>
    <t xml:space="preserve">ứng tiền, ứng cọc</t>
  </si>
  <si>
    <t xml:space="preserve">In ấn</t>
  </si>
  <si>
    <t xml:space="preserve">Bao bì</t>
  </si>
  <si>
    <t xml:space="preserve">Nhập hàng</t>
  </si>
  <si>
    <t xml:space="preserve">Trạng thái đơn mua lẻ</t>
  </si>
  <si>
    <t xml:space="preserve">Đã thanh toán</t>
  </si>
  <si>
    <t xml:space="preserve">Đi theo thứ tự</t>
  </si>
  <si>
    <t xml:space="preserve">7.1, FR-32</t>
  </si>
  <si>
    <t xml:space="preserve">Người bán xác nhận</t>
  </si>
  <si>
    <t xml:space="preserve">Đang giao</t>
  </si>
  <si>
    <t xml:space="preserve">Đã giao</t>
  </si>
  <si>
    <t xml:space="preserve">Hoàn tất</t>
  </si>
  <si>
    <t xml:space="preserve">Trạng thái đơn đặt hàng</t>
  </si>
  <si>
    <t xml:space="preserve">Đã cọc</t>
  </si>
  <si>
    <t xml:space="preserve">Bỏ 'Chờ duyệt maket' khi không có custom</t>
  </si>
  <si>
    <t xml:space="preserve">7.1, FR-40</t>
  </si>
  <si>
    <t xml:space="preserve">Chờ duyệt maket</t>
  </si>
  <si>
    <t xml:space="preserve">Đang sản xuất / chuẩn bị</t>
  </si>
  <si>
    <t xml:space="preserve">Sẵn sàng giao</t>
  </si>
  <si>
    <t xml:space="preserve">Trạng thái yêu cầu</t>
  </si>
  <si>
    <t xml:space="preserve">Đang mở</t>
  </si>
  <si>
    <t xml:space="preserve">Yêu cầu</t>
  </si>
  <si>
    <t xml:space="preserve">7.1</t>
  </si>
  <si>
    <t xml:space="preserve">Đã chốt</t>
  </si>
  <si>
    <t xml:space="preserve">Đã đóng</t>
  </si>
  <si>
    <t xml:space="preserve">Hết hạn</t>
  </si>
  <si>
    <t xml:space="preserve">Trạng thái báo giá</t>
  </si>
  <si>
    <t xml:space="preserve">Đã gửi</t>
  </si>
  <si>
    <t xml:space="preserve">Báo giá</t>
  </si>
  <si>
    <t xml:space="preserve">7.1, BR-05</t>
  </si>
  <si>
    <t xml:space="preserve">Đã thu hồi</t>
  </si>
  <si>
    <t xml:space="preserve">Hết hiệu lực</t>
  </si>
  <si>
    <t xml:space="preserve">Được chấp nhận</t>
  </si>
  <si>
    <t xml:space="preserve">Bị từ chối</t>
  </si>
  <si>
    <t xml:space="preserve">Trạng thái maket</t>
  </si>
  <si>
    <t xml:space="preserve">Chờ duyệt</t>
  </si>
  <si>
    <t xml:space="preserve">Phiên bản maket</t>
  </si>
  <si>
    <t xml:space="preserve">Yêu cầu sửa</t>
  </si>
  <si>
    <t xml:space="preserve">Trạng thái hồ sơ người bán</t>
  </si>
  <si>
    <t xml:space="preserve">Đang chờ</t>
  </si>
  <si>
    <t xml:space="preserve">Cần bổ sung</t>
  </si>
  <si>
    <t xml:space="preserve">Bị khóa</t>
  </si>
  <si>
    <t xml:space="preserve">Trạng thái sản phẩm</t>
  </si>
  <si>
    <t xml:space="preserve">Đang bán</t>
  </si>
  <si>
    <t xml:space="preserve">Không có xóa</t>
  </si>
  <si>
    <t xml:space="preserve">7.1, BR-24</t>
  </si>
  <si>
    <t xml:space="preserve">Ẩn</t>
  </si>
  <si>
    <t xml:space="preserve">Bị gỡ</t>
  </si>
  <si>
    <t xml:space="preserve">Trạng thái xác minh NFC</t>
  </si>
  <si>
    <t xml:space="preserve">Chưa xác minh</t>
  </si>
  <si>
    <t xml:space="preserve">Tài khoản</t>
  </si>
  <si>
    <t xml:space="preserve">Đã xác minh</t>
  </si>
  <si>
    <t xml:space="preserve">Tạm khóa</t>
  </si>
  <si>
    <t xml:space="preserve">Trạng thái khiếu nại (ĐỀ XUẤT)</t>
  </si>
  <si>
    <t xml:space="preserve">Dispute chưa có trường trạng thái</t>
  </si>
  <si>
    <t xml:space="preserve">Đã quyết định</t>
  </si>
  <si>
    <t xml:space="preserve">Cần xử lý tay</t>
  </si>
  <si>
    <t xml:space="preserve">Quyết định khiếu nại</t>
  </si>
  <si>
    <t xml:space="preserve">Hoàn toàn bộ</t>
  </si>
  <si>
    <t xml:space="preserve">Hoàn một phần</t>
  </si>
  <si>
    <t xml:space="preserve">Bác</t>
  </si>
  <si>
    <t xml:space="preserve">Loại nội dung</t>
  </si>
  <si>
    <t xml:space="preserve">Trường</t>
  </si>
  <si>
    <t xml:space="preserve">Kiểu</t>
  </si>
  <si>
    <t xml:space="preserve">Bắt buộc</t>
  </si>
  <si>
    <t xml:space="preserve">Hiển thị ở</t>
  </si>
  <si>
    <t xml:space="preserve">Tên</t>
  </si>
  <si>
    <t xml:space="preserve">Chuỗi</t>
  </si>
  <si>
    <t xml:space="preserve">Có</t>
  </si>
  <si>
    <t xml:space="preserve">M2.0, M2.1, B4.1</t>
  </si>
  <si>
    <t xml:space="preserve">Ảnh</t>
  </si>
  <si>
    <t xml:space="preserve">File[]</t>
  </si>
  <si>
    <t xml:space="preserve">M2.0, M2.1</t>
  </si>
  <si>
    <t xml:space="preserve">JPG/PNG ≤ 20 MB (NFR-08)</t>
  </si>
  <si>
    <t xml:space="preserve">Mô tả</t>
  </si>
  <si>
    <t xml:space="preserve">Văn bản</t>
  </si>
  <si>
    <t xml:space="preserve">Giá niêm yết</t>
  </si>
  <si>
    <t xml:space="preserve">Số nguyên VND</t>
  </si>
  <si>
    <t xml:space="preserve">Đã gồm thuế GTGT; hiển thị 245.000đ</t>
  </si>
  <si>
    <t xml:space="preserve">Tồn kho</t>
  </si>
  <si>
    <t xml:space="preserve">Số nguyên ≥ 0</t>
  </si>
  <si>
    <t xml:space="preserve">Hạn dùng</t>
  </si>
  <si>
    <t xml:space="preserve">Ngày</t>
  </si>
  <si>
    <t xml:space="preserve">DD/MM/YYYY</t>
  </si>
  <si>
    <t xml:space="preserve">Thương hiệu</t>
  </si>
  <si>
    <t xml:space="preserve">Người bán thuần bán lại tự nhập; còn lại để trống thì lấy tên đơn vị (BR-12, AC-29.4)</t>
  </si>
  <si>
    <t xml:space="preserve">Nơi sản xuất</t>
  </si>
  <si>
    <t xml:space="preserve">Có nếu bán lại</t>
  </si>
  <si>
    <t xml:space="preserve">BR-12</t>
  </si>
  <si>
    <t xml:space="preserve">Danh mục</t>
  </si>
  <si>
    <t xml:space="preserve">Vỏ, nhân</t>
  </si>
  <si>
    <t xml:space="preserve">Mã danh mục[]</t>
  </si>
  <si>
    <t xml:space="preserve">≥ 1 vỏ và ≥ 1 nhân</t>
  </si>
  <si>
    <t xml:space="preserve">M2.0 (lọc), M2.1, B4.1</t>
  </si>
  <si>
    <t xml:space="preserve">Giá trị đã ẩn vẫn hiện trên sản phẩm đã gắn (AC-54.4)</t>
  </si>
  <si>
    <t xml:space="preserve">Giá trị vỏ / nhân</t>
  </si>
  <si>
    <t xml:space="preserve">Nhóm, mã, tên, thứ tự, đang hiện</t>
  </si>
  <si>
    <t xml:space="preserve">Q6.4, bộ lọc M2.0</t>
  </si>
  <si>
    <t xml:space="preserve">Không xóa, chỉ ẩn (FR-54)</t>
  </si>
  <si>
    <t xml:space="preserve">Bậc giá theo số lượng</t>
  </si>
  <si>
    <t xml:space="preserve">Danh sách</t>
  </si>
  <si>
    <t xml:space="preserve">Không</t>
  </si>
  <si>
    <t xml:space="preserve">Ngưỡng báo giá</t>
  </si>
  <si>
    <t xml:space="preserve">Số nguyên</t>
  </si>
  <si>
    <t xml:space="preserve">M2.1 (ẩn), M4.0</t>
  </si>
  <si>
    <t xml:space="preserve">Chỉ khi nhận đặt hàng</t>
  </si>
  <si>
    <t xml:space="preserve">Tên đơn vị</t>
  </si>
  <si>
    <t xml:space="preserve">Cách bán</t>
  </si>
  <si>
    <t xml:space="preserve">Vùng giao, phí giao nội thành</t>
  </si>
  <si>
    <t xml:space="preserve">Danh sách, VND</t>
  </si>
  <si>
    <t xml:space="preserve">M3.3, M2.1</t>
  </si>
  <si>
    <t xml:space="preserve">Số lượng tối thiểu</t>
  </si>
  <si>
    <t xml:space="preserve">Số nguyên &gt; 0</t>
  </si>
  <si>
    <t xml:space="preserve">Bậc giá tham khảo</t>
  </si>
  <si>
    <t xml:space="preserve">Ghi rõ là tham khảo (AC-14.2)</t>
  </si>
  <si>
    <t xml:space="preserve">Thời gian chuẩn bị</t>
  </si>
  <si>
    <t xml:space="preserve">Số ngày</t>
  </si>
  <si>
    <t xml:space="preserve">Khả năng custom</t>
  </si>
  <si>
    <t xml:space="preserve">Danh mục[]</t>
  </si>
  <si>
    <t xml:space="preserve">Ưu đãi đặt sớm</t>
  </si>
  <si>
    <t xml:space="preserve">Chỉ là thông tin</t>
  </si>
  <si>
    <t xml:space="preserve">Loại</t>
  </si>
  <si>
    <t xml:space="preserve">Gửi nhiều nơi / Gửi riêng</t>
  </si>
  <si>
    <t xml:space="preserve">M6.2, B3.0</t>
  </si>
  <si>
    <t xml:space="preserve">Số lượng, hạn giao, địa chỉ</t>
  </si>
  <si>
    <t xml:space="preserve">M6.2.1, B3.1</t>
  </si>
  <si>
    <t xml:space="preserve">Ngân sách</t>
  </si>
  <si>
    <t xml:space="preserve">VND</t>
  </si>
  <si>
    <t xml:space="preserve">Gửi nhiều nơi</t>
  </si>
  <si>
    <t xml:space="preserve">Nội dung custom, logo</t>
  </si>
  <si>
    <t xml:space="preserve">Văn bản, file</t>
  </si>
  <si>
    <t xml:space="preserve">Đơn giá, phí giao, tổng tiền</t>
  </si>
  <si>
    <t xml:space="preserve">M6.2.1, B3.2</t>
  </si>
  <si>
    <t xml:space="preserve">Tỷ lệ cọc</t>
  </si>
  <si>
    <t xml:space="preserve">%</t>
  </si>
  <si>
    <t xml:space="preserve">Ngày giao, cách giao</t>
  </si>
  <si>
    <t xml:space="preserve">Hiệu lực đến</t>
  </si>
  <si>
    <t xml:space="preserve">1–14 ngày (Q-19 tạm)</t>
  </si>
  <si>
    <t xml:space="preserve">Loại, mặt hàng, tiền, phí giao</t>
  </si>
  <si>
    <t xml:space="preserve">M6.1.x, B2.x</t>
  </si>
  <si>
    <t xml:space="preserve">Thông tin hóa đơn doanh nghiệp</t>
  </si>
  <si>
    <t xml:space="preserve">Tên, MST, địa chỉ, email</t>
  </si>
  <si>
    <t xml:space="preserve">Mã vận đơn</t>
  </si>
  <si>
    <t xml:space="preserve">Có nếu liên tỉnh</t>
  </si>
  <si>
    <t xml:space="preserve">M6.1.1, B2.1</t>
  </si>
  <si>
    <t xml:space="preserve">File hóa đơn</t>
  </si>
  <si>
    <t xml:space="preserve">File</t>
  </si>
  <si>
    <t xml:space="preserve">Chưa có → 'người bán chưa lập hóa đơn'</t>
  </si>
  <si>
    <t xml:space="preserve">Số phiên bản, thời điểm, file</t>
  </si>
  <si>
    <t xml:space="preserve">Không ghi đè</t>
  </si>
  <si>
    <t xml:space="preserve">Trạng thái, ghi chú</t>
  </si>
  <si>
    <t xml:space="preserve">Cập nhật tiến độ</t>
  </si>
  <si>
    <t xml:space="preserve">Mốc, thời điểm</t>
  </si>
  <si>
    <t xml:space="preserve">Ghi chú, ảnh</t>
  </si>
  <si>
    <t xml:space="preserve">Lý do, mô tả, ảnh</t>
  </si>
  <si>
    <t xml:space="preserve">M6.1.3, Q5.1</t>
  </si>
  <si>
    <t xml:space="preserve">Quyết định, số hoàn, lý do</t>
  </si>
  <si>
    <t xml:space="preserve">Khi quyết định</t>
  </si>
  <si>
    <t xml:space="preserve">Đánh giá</t>
  </si>
  <si>
    <t xml:space="preserve">Số sao, nội dung</t>
  </si>
  <si>
    <t xml:space="preserve">Số sao: có</t>
  </si>
  <si>
    <t xml:space="preserve">M2.1, M6.1.1</t>
  </si>
  <si>
    <t xml:space="preserve">Chỉ đơn mua lẻ đã giao (BR-32)</t>
  </si>
  <si>
    <t xml:space="preserve">Yêu cầu giải ngân</t>
  </si>
  <si>
    <t xml:space="preserve">Số tiền, mục đích, trạng thái, lý do</t>
  </si>
  <si>
    <t xml:space="preserve">B5.2, Q4.1</t>
  </si>
  <si>
    <t xml:space="preserve">Mã</t>
  </si>
  <si>
    <t xml:space="preserve">Nhân vật</t>
  </si>
  <si>
    <t xml:space="preserve">Đường đi qua các trang</t>
  </si>
  <si>
    <t xml:space="preserve">Nhánh / ngoại lệ</t>
  </si>
  <si>
    <t xml:space="preserve">Requirement mục 8</t>
  </si>
  <si>
    <t xml:space="preserve">Anh Minh; chị Lan buổi tối</t>
  </si>
  <si>
    <t xml:space="preserve">M1.0 → M1.1 → M2.0 → M2.1 → M5.1 (nếu là khách, rồi quay về – AC-02.3) → M4.0 → M4.1 → M4.2 → M4.3 → M6.1 → M6.1.1</t>
  </si>
  <si>
    <t xml:space="preserve">Vượt tồn kho/ngưỡng ở M4.0 → F3 (M3.4)</t>
  </si>
  <si>
    <t xml:space="preserve">Flow 1</t>
  </si>
  <si>
    <t xml:space="preserve">Yêu cầu báo giá có in logo</t>
  </si>
  <si>
    <t xml:space="preserve">Chị Lan</t>
  </si>
  <si>
    <t xml:space="preserve">M1.0 → M3.0 → M3.1 → [M6.4 nếu chưa xác minh] → M6.2 → M6.2.1 → M6.2.2 → M4.2 → M6.1.2 (Maket, Tiến độ, Thanh toán phần còn lại → M4.2)</t>
  </si>
  <si>
    <t xml:space="preserve">Phía người bán: B3.0 → B3.1 → B3.2; B2.2; B5.2. Quản trị: Q4.1</t>
  </si>
  <si>
    <t xml:space="preserve">Flow 2</t>
  </si>
  <si>
    <t xml:space="preserve">Gửi yêu cầu cho một đơn vị</t>
  </si>
  <si>
    <t xml:space="preserve">Chị Thảo; anh Quân; bạn Vy</t>
  </si>
  <si>
    <t xml:space="preserve">M2.0 (khối Đơn vị cung cấp khi gõ tên – AC-14.5) hoặc M3.2 (tìm theo tên – AC-14.6) hoặc M2.1 hoặc M4.0 → M3.3 → M3.4 → [M6.4] → M6.2 → M6.2.1 → nối F2 từ M6.2.2</t>
  </si>
  <si>
    <t xml:space="preserve">Không custom → bỏ tab Maket</t>
  </si>
  <si>
    <t xml:space="preserve">Flow 3</t>
  </si>
  <si>
    <t xml:space="preserve">Cô Hoa; chị Thảo; anh Quân</t>
  </si>
  <si>
    <t xml:space="preserve">M7.0 → [M6.4] → M7.1 → B1.0 (Đang chờ) → Q2.0 → Q2.1 → B1.0 (Đã duyệt) → B1.1 → M4.2 → B6.2 → B4.1 và/hoặc B6.3</t>
  </si>
  <si>
    <t xml:space="preserve">Cần bổ sung → B6.1 nộp lại</t>
  </si>
  <si>
    <t xml:space="preserve">Flow 4</t>
  </si>
  <si>
    <t xml:space="preserve">Người mua; người bán; quản trị</t>
  </si>
  <si>
    <t xml:space="preserve">M6.1.1/M6.1.2 (nút Báo vấn đề với đơn, còn hạn) → M6.1.3 → [giữ tiền, báo người bán] → B2.1/B2.2 (xem, phản hồi: đề xuất) → Q5.0 → Q5.1 → [hoàn VNPay nếu có] → M6.6 hai bên → M6.1.3 kết quả → Q4.2 phần còn lại</t>
  </si>
  <si>
    <t xml:space="preserve">Quá hạn: nút ẩn. VNPay lỗi → tab Cần xử lý tay (Q5.0). Số hoàn &gt; đang giữ: Q-01</t>
  </si>
  <si>
    <t xml:space="preserve">Flow 5</t>
  </si>
  <si>
    <t xml:space="preserve">Xác minh NFC</t>
  </si>
  <si>
    <t xml:space="preserve">Mọi người dùng cần đặt hàng hoặc bán</t>
  </si>
  <si>
    <t xml:space="preserve">(M3.1 | M3.4 | M7.1) → M6.4 → V1 → V2 → V3 → V4 → V5 → M6.4 tự cập nhật → quay lại trang xuất phát</t>
  </si>
  <si>
    <t xml:space="preserve">Sai thẻ → V3; khóa sau 5 lần (Q-30 tạm)</t>
  </si>
  <si>
    <t xml:space="preserve">Flow 6</t>
  </si>
  <si>
    <t xml:space="preserve">Quản lý sản phẩm</t>
  </si>
  <si>
    <t xml:space="preserve">Anh Quân</t>
  </si>
  <si>
    <t xml:space="preserve">B4.0 → B4.1 (đăng / sửa) → B4.0 (ẩn / hiện); Quản trị: Q3.0 gỡ</t>
  </si>
  <si>
    <t xml:space="preserve">Bị gỡ → B4.1 chỉ xem</t>
  </si>
  <si>
    <t xml:space="preserve">Flow 7</t>
  </si>
  <si>
    <t xml:space="preserve">Chưa đối chiếu với user flow trên Figma (chưa có link). Khi có, thêm cột 'Khác với Figma'.</t>
  </si>
  <si>
    <t xml:space="preserve">#</t>
  </si>
  <si>
    <t xml:space="preserve">Nhiệm vụ</t>
  </si>
  <si>
    <t xml:space="preserve">Nhóm</t>
  </si>
  <si>
    <t xml:space="preserve">Đáp án đúng (cả hai cây)</t>
  </si>
  <si>
    <t xml:space="preserve">Đáp án chấp nhận được</t>
  </si>
  <si>
    <t xml:space="preserve">Chỗ dễ phân vân (giả định)</t>
  </si>
  <si>
    <t xml:space="preserve">Phân nhánh cấp 1</t>
  </si>
  <si>
    <t xml:space="preserve">Cây A: số người</t>
  </si>
  <si>
    <t xml:space="preserve">Cây A: đúng lần đầu</t>
  </si>
  <si>
    <t xml:space="preserve">Cây A: tỷ lệ</t>
  </si>
  <si>
    <t xml:space="preserve">Cây B: số người</t>
  </si>
  <si>
    <t xml:space="preserve">Cây B: đúng lần đầu</t>
  </si>
  <si>
    <t xml:space="preserve">Cây B: tỷ lệ</t>
  </si>
  <si>
    <t xml:space="preserve">Bạn muốn mua 2 hộp bánh cho gia đình, giao trong tuần. Bạn bắt đầu từ đâu?</t>
  </si>
  <si>
    <t xml:space="preserve">Công ty cần 150 phần quà có logo; bạn muốn nhiều nơi cùng gửi giá để so.</t>
  </si>
  <si>
    <t xml:space="preserve">M3.0 › M3.1</t>
  </si>
  <si>
    <t xml:space="preserve">M3.2 (hỏi từng nơi)</t>
  </si>
  <si>
    <t xml:space="preserve">Bạn đã chọn được xưởng của cô Hoa và muốn hỏi giá 80 hộp chỉ từ xưởng đó.</t>
  </si>
  <si>
    <t xml:space="preserve">M3.2 › M3.3 › M3.4</t>
  </si>
  <si>
    <t xml:space="preserve">M2.1 › M3.4</t>
  </si>
  <si>
    <t xml:space="preserve">Nhãn 'Đơn vị cung cấp'</t>
  </si>
  <si>
    <t xml:space="preserve">Xưởng vừa gửi bản thiết kế in logo; bạn cần xem và đồng ý.</t>
  </si>
  <si>
    <t xml:space="preserve">M6.1 › M6.1.2</t>
  </si>
  <si>
    <t xml:space="preserve">M6.0 Việc cần bạn</t>
  </si>
  <si>
    <t xml:space="preserve">Có thể vào M6.2</t>
  </si>
  <si>
    <t xml:space="preserve">Kế toán xin chứng từ cho đơn tuần trước.</t>
  </si>
  <si>
    <t xml:space="preserve">M6.1 › chi tiết đơn</t>
  </si>
  <si>
    <t xml:space="preserve">Bánh nhận được bị bể, bạn muốn được hoàn tiền.</t>
  </si>
  <si>
    <t xml:space="preserve">M6.1 › M6.1.1 › M6.1.3</t>
  </si>
  <si>
    <t xml:space="preserve">Có thể tìm ở footer</t>
  </si>
  <si>
    <t xml:space="preserve">Bạn chuyển văn phòng ra Đà Nẵng và muốn thấy bánh giao được tới đó.</t>
  </si>
  <si>
    <t xml:space="preserve">Bạn có hộ kinh doanh và muốn bắt đầu bán bánh ở đây.</t>
  </si>
  <si>
    <t xml:space="preserve">M7.0 › M7.1</t>
  </si>
  <si>
    <t xml:space="preserve">Một khách vừa trả tiền 3 hộp; bạn cần báo đã nhận đơn.</t>
  </si>
  <si>
    <t xml:space="preserve">B2.0 › B2.1</t>
  </si>
  <si>
    <t xml:space="preserve">Bạn cần ứng trước một phần tiền cọc để mua bột và in hộp.</t>
  </si>
  <si>
    <t xml:space="preserve">Hai lối cố ý</t>
  </si>
  <si>
    <t xml:space="preserve">Một loại bánh đã hết hàng lâu dài; bạn muốn ngừng bán nhưng giữ dữ liệu.</t>
  </si>
  <si>
    <t xml:space="preserve">B4.0 (Ẩn)</t>
  </si>
  <si>
    <t xml:space="preserve">Có thể tìm 'xóa'</t>
  </si>
  <si>
    <t xml:space="preserve">Một xưởng mới nộp giấy tờ; bạn cần kiểm và cho phép bán.</t>
  </si>
  <si>
    <t xml:space="preserve">Q2.0 › Q2.1</t>
  </si>
  <si>
    <t xml:space="preserve">Công ty cần 10 hộp bánh có in logo để tặng đối tác. Bạn bắt đầu từ đâu?</t>
  </si>
  <si>
    <t xml:space="preserve">M3.1, M3.2</t>
  </si>
  <si>
    <t xml:space="preserve">Số lượng nhỏ nhưng phải qua báo giá (BR-03)</t>
  </si>
  <si>
    <t xml:space="preserve">Một đại lý gần bạn đang có sẵn 40 hộp bánh dẻo; bạn muốn mua ngay về bán trong tiệm.</t>
  </si>
  <si>
    <t xml:space="preserve">Số lượng lớn nhưng mua ngay được</t>
  </si>
  <si>
    <t xml:space="preserve">Cây A: nhãn cấp 1 'Mua lẻ' / 'Đặt số lượng lớn'. Cây B: 'Mua hàng có sẵn' / 'Đặt theo yêu cầu'. Mọi nhãn khác giống nhau. Mỗi người chỉ làm một cây, chia ngẫu nhiên, 5–8 người mỗi cây.</t>
  </si>
  <si>
    <t xml:space="preserve">Nhập ở ô vàng: số người làm nhiệm vụ và số người tìm đúng ở lần bấm đầu. Ví dụ: 8 người, 6 đúng → 75%.</t>
  </si>
  <si>
    <t xml:space="preserve">Chỉ số (quy tắc đặt trước khi chạy)</t>
  </si>
  <si>
    <t xml:space="preserve">Cây A</t>
  </si>
  <si>
    <t xml:space="preserve">Cây B</t>
  </si>
  <si>
    <t xml:space="preserve">Tỷ lệ đúng ở nhóm phân nhánh (nhiệm vụ 1, 2, 13, 14)</t>
  </si>
  <si>
    <t xml:space="preserve">Số nhiệm vụ phân nhánh mà cây B kém cây A từ 2 người trở lên</t>
  </si>
  <si>
    <t xml:space="preserve">Nhiệm vụ 13 hoặc 14 dưới 65% ở cả hai cây</t>
  </si>
  <si>
    <t xml:space="preserve">Kết luận theo quy tắc</t>
  </si>
  <si>
    <t xml:space="preserve">Quy tắc: chênh 1 người coi là hòa và chọn B vì B đúng với BR-03 (K1). Cây B kém cây A từ 2 người ở một nhiệm vụ phân nhánh thì giữ A. Cả hai cây dưới 65% ở nhiệm vụ 13 hoặc 14 thì vấn đề nằm ở cách chia, không ở nhãn.</t>
  </si>
  <si>
    <t xml:space="preserve">Điểm</t>
  </si>
  <si>
    <t xml:space="preserve">Mức</t>
  </si>
  <si>
    <t xml:space="preserve">Sửa ở</t>
  </si>
  <si>
    <t xml:space="preserve">Link Figma user flow để đối chiếu F1–F7</t>
  </si>
  <si>
    <t xml:space="preserve">Mở</t>
  </si>
  <si>
    <t xml:space="preserve">Nhãn cấp 1 (Đ1): đã chốt 23/10 theo tree test, cây B 'Mua hàng có sẵn' / 'Đặt theo yêu cầu'</t>
  </si>
  <si>
    <t xml:space="preserve">Xong</t>
  </si>
  <si>
    <t xml:space="preserve">Tree test</t>
  </si>
  <si>
    <t xml:space="preserve">Merge nhánh feat/product-cake-type-brand (Requirement v1.7 và v1.8) vào develop</t>
  </si>
  <si>
    <t xml:space="preserve">Chặn</t>
  </si>
  <si>
    <t xml:space="preserve">ĐÃ CHỐT: phân loại theo vỏ và nhân, danh mục do quản trị quản lý (BR-34, FR-54, v1.7)</t>
  </si>
  <si>
    <t xml:space="preserve">Requirement</t>
  </si>
  <si>
    <t xml:space="preserve">ĐÃ CHỐT: thương hiệu mặc định = tên đơn vị cho hàng không thuần bán lại (BR-12, AC-29.4, v1.7)</t>
  </si>
  <si>
    <t xml:space="preserve">ĐÃ CHỐT (Đ2): tìm đơn vị cung cấp theo tên — khối riêng trên trang kết quả và ô tìm trong M3.2 (AC-14.5, AC-14.6, v1.8). Đã đối chiếu: không mâu thuẫn Context mục 2, 4, 7</t>
  </si>
  <si>
    <t xml:space="preserve">ĐÃ CHỐT (Đ4): đăng nhập xong quay về việc đang làm; không có giỏ của khách (AC-02.3, v1.8). Đã đối chiếu: không mâu thuẫn Context mục 5</t>
  </si>
  <si>
    <t xml:space="preserve">ĐÃ CHỐT (Đ5): không thêm trang nhật ký chung; lịch sử trong Q2.1, Q4.1, Q5.1. Endpoint nhật ký trong Software Design chưa có màn hình dùng</t>
  </si>
  <si>
    <t xml:space="preserve">IA</t>
  </si>
  <si>
    <t xml:space="preserve">ĐÃ CHỐT (Đ6, Đ7): một đường dẫn cho hai loại đơn; một hộp thông báo dùng chung hai khu</t>
  </si>
  <si>
    <t xml:space="preserve">Wireframe trang chủ: theo năm khối ở M1.0 (Đ3)</t>
  </si>
  <si>
    <t xml:space="preserve">Wireframe</t>
  </si>
  <si>
    <t xml:space="preserve">Khi vẽ lại menu tài khoản: dùng nhãn ở sheet Nhãn</t>
  </si>
  <si>
    <t xml:space="preserve">Có thêm trang Chính sách mua bán (M8.0)?</t>
  </si>
  <si>
    <t xml:space="preserve">Context/Requirement</t>
  </si>
  <si>
    <t xml:space="preserve">Bộ lọc danh sách đơn vị cung cấp ngoài tìm theo tên (custom, số lượng tối thiểu, nguồn hàng)</t>
  </si>
  <si>
    <t xml:space="preserve">Requirement chưa nói nơi xem lại thông báo (NFR-10); IA dùng trang M6.6</t>
  </si>
  <si>
    <t xml:space="preserve">Nhãn 'Đơn vị cung cấp' so với 'Xưởng và đại lý' (nhiệm vụ 3 của tree test)</t>
  </si>
  <si>
    <t xml:space="preserve">Đường dẫn trang theo đề xuất; M3.0 là /dat-theo-yeu-cau (cây B)</t>
  </si>
  <si>
    <t xml:space="preserve">Frontend</t>
  </si>
  <si>
    <t xml:space="preserve">Khiếu nại: FR cho người bán gửi phản hồi và bằng chứng (AC-49.1)</t>
  </si>
  <si>
    <t xml:space="preserve">Context/US/Requirement</t>
  </si>
  <si>
    <t xml:space="preserve">Khiếu nại: thêm trường trạng thái và trạng thái hoàn tiền cho Dispute</t>
  </si>
  <si>
    <t xml:space="preserve">Requirement 7.1</t>
  </si>
  <si>
    <t xml:space="preserve">Khiếu nại: thông báo người bán khi có khiếu nại mới</t>
  </si>
  <si>
    <t xml:space="preserve">Khiếu nại 'giao trễ' trước khi giao (đơn đặt hàng quá ngày hẹn)</t>
  </si>
  <si>
    <t xml:space="preserve">Trạng thái đơn sau khi hoàn toàn bộ (Q-01)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</si>
</sst>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3B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</row>
    <row r="10" customFormat="false" ht="15" hidden="false" customHeight="false" outlineLevel="0" collapsed="false">
      <c r="A10" s="2" t="s">
        <v>8</v>
      </c>
      <c r="B10" s="2" t="n">
        <f aca="false">COUNTIF('Kiểm kê màn hình'!B:B,"M")</f>
        <v>35</v>
      </c>
    </row>
    <row r="11" customFormat="false" ht="15" hidden="false" customHeight="false" outlineLevel="0" collapsed="false">
      <c r="A11" s="2" t="s">
        <v>9</v>
      </c>
      <c r="B11" s="2" t="n">
        <f aca="false">COUNTIF('Kiểm kê màn hình'!B:B,"B")</f>
        <v>18</v>
      </c>
    </row>
    <row r="12" customFormat="false" ht="15" hidden="false" customHeight="false" outlineLevel="0" collapsed="false">
      <c r="A12" s="2" t="s">
        <v>10</v>
      </c>
      <c r="B12" s="2" t="n">
        <f aca="false">COUNTIF('Kiểm kê màn hình'!B:B,"Q")</f>
        <v>15</v>
      </c>
    </row>
    <row r="13" customFormat="false" ht="15" hidden="false" customHeight="false" outlineLevel="0" collapsed="false">
      <c r="A13" s="2" t="s">
        <v>11</v>
      </c>
      <c r="B13" s="2" t="n">
        <f aca="false">COUNTIF('Kiểm kê màn hình'!B:B,"V")</f>
        <v>5</v>
      </c>
    </row>
    <row r="14" customFormat="false" ht="15" hidden="false" customHeight="false" outlineLevel="0" collapsed="false">
      <c r="A14" s="3" t="s">
        <v>12</v>
      </c>
      <c r="B14" s="3" t="n">
        <f aca="false">SUM(B10:B13)</f>
        <v>73</v>
      </c>
    </row>
    <row r="16" customFormat="false" ht="15" hidden="false" customHeight="false" outlineLevel="0" collapsed="false">
      <c r="A16" s="3" t="s">
        <v>13</v>
      </c>
      <c r="B16" s="3" t="s">
        <v>7</v>
      </c>
    </row>
    <row r="17" customFormat="false" ht="15" hidden="false" customHeight="false" outlineLevel="0" collapsed="false">
      <c r="A17" s="2" t="s">
        <v>14</v>
      </c>
      <c r="B17" s="2" t="n">
        <f aca="false">COUNTIF('Kiểm kê màn hình'!J:J,"Làm trọn")</f>
        <v>65</v>
      </c>
    </row>
    <row r="18" customFormat="false" ht="15" hidden="false" customHeight="false" outlineLevel="0" collapsed="false">
      <c r="A18" s="2" t="s">
        <v>15</v>
      </c>
      <c r="B18" s="2" t="n">
        <f aca="false">COUNTIF('Kiểm kê màn hình'!J:J,"Đơn giản")</f>
        <v>5</v>
      </c>
    </row>
    <row r="19" customFormat="false" ht="15" hidden="false" customHeight="false" outlineLevel="0" collapsed="false">
      <c r="A19" s="2" t="s">
        <v>16</v>
      </c>
      <c r="B19" s="2" t="n">
        <f aca="false">COUNTIF('Kiểm kê màn hình'!J:J,"Hoãn")</f>
        <v>2</v>
      </c>
    </row>
    <row r="20" customFormat="false" ht="15" hidden="false" customHeight="false" outlineLevel="0" collapsed="false">
      <c r="A20" s="2" t="s">
        <v>17</v>
      </c>
      <c r="B20" s="2" t="n">
        <f aca="false">COUNTIF('Kiểm kê màn hình'!J:J,"Cần xác nhận")</f>
        <v>1</v>
      </c>
    </row>
    <row r="22" customFormat="false" ht="15" hidden="false" customHeight="false" outlineLevel="0" collapsed="false">
      <c r="A22" s="2" t="s">
        <v>18</v>
      </c>
      <c r="B22" s="2" t="n">
        <f aca="false">COUNTIF('Kiểm kê màn hình'!K:K,"S*")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50"/>
  </cols>
  <sheetData>
    <row r="1" customFormat="false" ht="39.55" hidden="false" customHeight="false" outlineLevel="0" collapsed="false">
      <c r="A1" s="4" t="s">
        <v>19</v>
      </c>
      <c r="B1" s="4" t="s">
        <v>6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13</v>
      </c>
      <c r="K1" s="4" t="s">
        <v>27</v>
      </c>
      <c r="L1" s="4" t="s">
        <v>28</v>
      </c>
      <c r="M1" s="4" t="s">
        <v>29</v>
      </c>
      <c r="N1" s="4" t="s">
        <v>30</v>
      </c>
    </row>
    <row r="2" customFormat="false" ht="68.65" hidden="false" customHeight="false" outlineLevel="0" collapsed="false">
      <c r="A2" s="5" t="s">
        <v>31</v>
      </c>
      <c r="B2" s="5" t="s">
        <v>32</v>
      </c>
      <c r="C2" s="5"/>
      <c r="D2" s="5" t="s">
        <v>33</v>
      </c>
      <c r="E2" s="5" t="s">
        <v>34</v>
      </c>
      <c r="F2" s="5" t="s">
        <v>35</v>
      </c>
      <c r="G2" s="5" t="s">
        <v>36</v>
      </c>
      <c r="H2" s="5"/>
      <c r="I2" s="5" t="s">
        <v>37</v>
      </c>
      <c r="J2" s="5" t="s">
        <v>14</v>
      </c>
      <c r="K2" s="5"/>
      <c r="L2" s="5" t="s">
        <v>38</v>
      </c>
      <c r="M2" s="5" t="s">
        <v>39</v>
      </c>
      <c r="N2" s="5" t="s">
        <v>40</v>
      </c>
    </row>
    <row r="3" customFormat="false" ht="23.85" hidden="false" customHeight="false" outlineLevel="0" collapsed="false">
      <c r="A3" s="5" t="s">
        <v>41</v>
      </c>
      <c r="B3" s="5" t="s">
        <v>32</v>
      </c>
      <c r="C3" s="5" t="s">
        <v>31</v>
      </c>
      <c r="D3" s="5" t="s">
        <v>42</v>
      </c>
      <c r="E3" s="5" t="s">
        <v>43</v>
      </c>
      <c r="F3" s="5" t="s">
        <v>44</v>
      </c>
      <c r="G3" s="5" t="s">
        <v>36</v>
      </c>
      <c r="H3" s="5" t="s">
        <v>45</v>
      </c>
      <c r="I3" s="5" t="s">
        <v>46</v>
      </c>
      <c r="J3" s="5" t="s">
        <v>14</v>
      </c>
      <c r="K3" s="5"/>
      <c r="L3" s="5" t="s">
        <v>47</v>
      </c>
      <c r="M3" s="5" t="s">
        <v>48</v>
      </c>
      <c r="N3" s="5" t="s">
        <v>49</v>
      </c>
    </row>
    <row r="4" customFormat="false" ht="68.65" hidden="false" customHeight="false" outlineLevel="0" collapsed="false">
      <c r="A4" s="5" t="s">
        <v>50</v>
      </c>
      <c r="B4" s="5" t="s">
        <v>32</v>
      </c>
      <c r="C4" s="5" t="s">
        <v>31</v>
      </c>
      <c r="D4" s="5" t="s">
        <v>51</v>
      </c>
      <c r="E4" s="5" t="s">
        <v>52</v>
      </c>
      <c r="F4" s="5" t="s">
        <v>53</v>
      </c>
      <c r="G4" s="5" t="s">
        <v>36</v>
      </c>
      <c r="H4" s="5"/>
      <c r="I4" s="5" t="s">
        <v>54</v>
      </c>
      <c r="J4" s="5" t="s">
        <v>14</v>
      </c>
      <c r="K4" s="5"/>
      <c r="L4" s="5" t="s">
        <v>47</v>
      </c>
      <c r="M4" s="5" t="s">
        <v>55</v>
      </c>
      <c r="N4" s="5" t="s">
        <v>56</v>
      </c>
    </row>
    <row r="5" customFormat="false" ht="23.85" hidden="false" customHeight="false" outlineLevel="0" collapsed="false">
      <c r="A5" s="5" t="s">
        <v>57</v>
      </c>
      <c r="B5" s="5" t="s">
        <v>32</v>
      </c>
      <c r="C5" s="5" t="s">
        <v>50</v>
      </c>
      <c r="D5" s="5" t="s">
        <v>58</v>
      </c>
      <c r="E5" s="5" t="s">
        <v>59</v>
      </c>
      <c r="F5" s="5" t="s">
        <v>60</v>
      </c>
      <c r="G5" s="5" t="s">
        <v>36</v>
      </c>
      <c r="H5" s="5" t="s">
        <v>61</v>
      </c>
      <c r="I5" s="5" t="s">
        <v>62</v>
      </c>
      <c r="J5" s="5" t="s">
        <v>14</v>
      </c>
      <c r="K5" s="5"/>
      <c r="L5" s="5" t="s">
        <v>47</v>
      </c>
      <c r="M5" s="5" t="s">
        <v>55</v>
      </c>
      <c r="N5" s="5" t="s">
        <v>63</v>
      </c>
    </row>
    <row r="6" customFormat="false" ht="46.25" hidden="false" customHeight="false" outlineLevel="0" collapsed="false">
      <c r="A6" s="5" t="s">
        <v>64</v>
      </c>
      <c r="B6" s="5" t="s">
        <v>32</v>
      </c>
      <c r="C6" s="5" t="s">
        <v>31</v>
      </c>
      <c r="D6" s="5" t="s">
        <v>65</v>
      </c>
      <c r="E6" s="5" t="s">
        <v>66</v>
      </c>
      <c r="F6" s="5" t="s">
        <v>67</v>
      </c>
      <c r="G6" s="5" t="s">
        <v>36</v>
      </c>
      <c r="H6" s="5"/>
      <c r="I6" s="5" t="s">
        <v>68</v>
      </c>
      <c r="J6" s="5" t="s">
        <v>14</v>
      </c>
      <c r="K6" s="5"/>
      <c r="L6" s="5" t="s">
        <v>47</v>
      </c>
      <c r="M6" s="5" t="s">
        <v>69</v>
      </c>
      <c r="N6" s="5" t="s">
        <v>70</v>
      </c>
    </row>
    <row r="7" customFormat="false" ht="23.85" hidden="false" customHeight="false" outlineLevel="0" collapsed="false">
      <c r="A7" s="5" t="s">
        <v>71</v>
      </c>
      <c r="B7" s="5" t="s">
        <v>32</v>
      </c>
      <c r="C7" s="5" t="s">
        <v>64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14</v>
      </c>
      <c r="K7" s="5"/>
      <c r="L7" s="5" t="s">
        <v>47</v>
      </c>
      <c r="M7" s="5" t="s">
        <v>78</v>
      </c>
      <c r="N7" s="5" t="s">
        <v>79</v>
      </c>
    </row>
    <row r="8" customFormat="false" ht="23.85" hidden="false" customHeight="false" outlineLevel="0" collapsed="false">
      <c r="A8" s="5" t="s">
        <v>80</v>
      </c>
      <c r="B8" s="5" t="s">
        <v>32</v>
      </c>
      <c r="C8" s="5" t="s">
        <v>64</v>
      </c>
      <c r="D8" s="5" t="s">
        <v>81</v>
      </c>
      <c r="E8" s="5" t="s">
        <v>52</v>
      </c>
      <c r="F8" s="5" t="s">
        <v>82</v>
      </c>
      <c r="G8" s="5" t="s">
        <v>36</v>
      </c>
      <c r="H8" s="5"/>
      <c r="I8" s="5" t="s">
        <v>83</v>
      </c>
      <c r="J8" s="5" t="s">
        <v>14</v>
      </c>
      <c r="K8" s="5"/>
      <c r="L8" s="5" t="s">
        <v>47</v>
      </c>
      <c r="M8" s="5" t="s">
        <v>84</v>
      </c>
      <c r="N8" s="5" t="s">
        <v>85</v>
      </c>
    </row>
    <row r="9" customFormat="false" ht="35.05" hidden="false" customHeight="false" outlineLevel="0" collapsed="false">
      <c r="A9" s="5" t="s">
        <v>86</v>
      </c>
      <c r="B9" s="5" t="s">
        <v>32</v>
      </c>
      <c r="C9" s="5" t="s">
        <v>80</v>
      </c>
      <c r="D9" s="5" t="s">
        <v>87</v>
      </c>
      <c r="E9" s="5" t="s">
        <v>59</v>
      </c>
      <c r="F9" s="5" t="s">
        <v>88</v>
      </c>
      <c r="G9" s="5" t="s">
        <v>36</v>
      </c>
      <c r="H9" s="5" t="s">
        <v>89</v>
      </c>
      <c r="I9" s="5" t="s">
        <v>90</v>
      </c>
      <c r="J9" s="5" t="s">
        <v>14</v>
      </c>
      <c r="K9" s="5"/>
      <c r="L9" s="5" t="s">
        <v>47</v>
      </c>
      <c r="M9" s="5" t="s">
        <v>55</v>
      </c>
      <c r="N9" s="5" t="s">
        <v>91</v>
      </c>
    </row>
    <row r="10" customFormat="false" ht="23.85" hidden="false" customHeight="false" outlineLevel="0" collapsed="false">
      <c r="A10" s="5" t="s">
        <v>92</v>
      </c>
      <c r="B10" s="5" t="s">
        <v>32</v>
      </c>
      <c r="C10" s="5" t="s">
        <v>86</v>
      </c>
      <c r="D10" s="5" t="s">
        <v>93</v>
      </c>
      <c r="E10" s="5" t="s">
        <v>73</v>
      </c>
      <c r="F10" s="5" t="s">
        <v>94</v>
      </c>
      <c r="G10" s="5" t="s">
        <v>75</v>
      </c>
      <c r="H10" s="5" t="s">
        <v>95</v>
      </c>
      <c r="I10" s="5" t="s">
        <v>96</v>
      </c>
      <c r="J10" s="5" t="s">
        <v>14</v>
      </c>
      <c r="K10" s="5"/>
      <c r="L10" s="5" t="s">
        <v>47</v>
      </c>
      <c r="M10" s="5" t="s">
        <v>84</v>
      </c>
      <c r="N10" s="5" t="s">
        <v>97</v>
      </c>
    </row>
    <row r="11" customFormat="false" ht="35.05" hidden="false" customHeight="false" outlineLevel="0" collapsed="false">
      <c r="A11" s="5" t="s">
        <v>98</v>
      </c>
      <c r="B11" s="5" t="s">
        <v>32</v>
      </c>
      <c r="C11" s="5" t="s">
        <v>31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5" t="s">
        <v>104</v>
      </c>
      <c r="J11" s="5" t="s">
        <v>14</v>
      </c>
      <c r="K11" s="5"/>
      <c r="L11" s="5" t="s">
        <v>47</v>
      </c>
      <c r="M11" s="5" t="s">
        <v>48</v>
      </c>
      <c r="N11" s="5" t="s">
        <v>105</v>
      </c>
    </row>
    <row r="12" customFormat="false" ht="23.85" hidden="false" customHeight="false" outlineLevel="0" collapsed="false">
      <c r="A12" s="5" t="s">
        <v>106</v>
      </c>
      <c r="B12" s="5" t="s">
        <v>32</v>
      </c>
      <c r="C12" s="5" t="s">
        <v>98</v>
      </c>
      <c r="D12" s="5" t="s">
        <v>107</v>
      </c>
      <c r="E12" s="5" t="s">
        <v>100</v>
      </c>
      <c r="F12" s="5" t="s">
        <v>108</v>
      </c>
      <c r="G12" s="5" t="s">
        <v>102</v>
      </c>
      <c r="H12" s="5"/>
      <c r="I12" s="5" t="s">
        <v>109</v>
      </c>
      <c r="J12" s="5" t="s">
        <v>14</v>
      </c>
      <c r="K12" s="5"/>
      <c r="L12" s="5" t="s">
        <v>47</v>
      </c>
      <c r="M12" s="5" t="s">
        <v>48</v>
      </c>
      <c r="N12" s="5" t="s">
        <v>110</v>
      </c>
    </row>
    <row r="13" customFormat="false" ht="15" hidden="false" customHeight="false" outlineLevel="0" collapsed="false">
      <c r="A13" s="5" t="s">
        <v>111</v>
      </c>
      <c r="B13" s="5" t="s">
        <v>32</v>
      </c>
      <c r="C13" s="5" t="s">
        <v>106</v>
      </c>
      <c r="D13" s="5" t="s">
        <v>112</v>
      </c>
      <c r="E13" s="5" t="s">
        <v>113</v>
      </c>
      <c r="F13" s="5" t="s">
        <v>114</v>
      </c>
      <c r="G13" s="5" t="s">
        <v>102</v>
      </c>
      <c r="H13" s="5"/>
      <c r="I13" s="5" t="s">
        <v>115</v>
      </c>
      <c r="J13" s="5" t="s">
        <v>14</v>
      </c>
      <c r="K13" s="5"/>
      <c r="L13" s="5" t="s">
        <v>113</v>
      </c>
      <c r="M13" s="5" t="s">
        <v>116</v>
      </c>
      <c r="N13" s="5" t="s">
        <v>117</v>
      </c>
    </row>
    <row r="14" customFormat="false" ht="23.85" hidden="false" customHeight="false" outlineLevel="0" collapsed="false">
      <c r="A14" s="5" t="s">
        <v>118</v>
      </c>
      <c r="B14" s="5" t="s">
        <v>32</v>
      </c>
      <c r="C14" s="5" t="s">
        <v>106</v>
      </c>
      <c r="D14" s="5" t="s">
        <v>119</v>
      </c>
      <c r="E14" s="5" t="s">
        <v>100</v>
      </c>
      <c r="F14" s="5" t="s">
        <v>120</v>
      </c>
      <c r="G14" s="5" t="s">
        <v>102</v>
      </c>
      <c r="H14" s="5"/>
      <c r="I14" s="5" t="s">
        <v>121</v>
      </c>
      <c r="J14" s="5" t="s">
        <v>14</v>
      </c>
      <c r="K14" s="5"/>
      <c r="L14" s="5" t="s">
        <v>47</v>
      </c>
      <c r="M14" s="5" t="s">
        <v>48</v>
      </c>
      <c r="N14" s="5" t="s">
        <v>122</v>
      </c>
    </row>
    <row r="15" customFormat="false" ht="35.05" hidden="false" customHeight="false" outlineLevel="0" collapsed="false">
      <c r="A15" s="5" t="s">
        <v>123</v>
      </c>
      <c r="B15" s="5" t="s">
        <v>32</v>
      </c>
      <c r="C15" s="5" t="s">
        <v>31</v>
      </c>
      <c r="D15" s="5" t="s">
        <v>124</v>
      </c>
      <c r="E15" s="5" t="s">
        <v>34</v>
      </c>
      <c r="F15" s="5" t="s">
        <v>125</v>
      </c>
      <c r="G15" s="5" t="s">
        <v>126</v>
      </c>
      <c r="H15" s="5"/>
      <c r="I15" s="5" t="s">
        <v>127</v>
      </c>
      <c r="J15" s="5" t="s">
        <v>14</v>
      </c>
      <c r="K15" s="5"/>
      <c r="L15" s="5" t="s">
        <v>128</v>
      </c>
      <c r="M15" s="5" t="s">
        <v>129</v>
      </c>
      <c r="N15" s="5" t="s">
        <v>130</v>
      </c>
    </row>
    <row r="16" customFormat="false" ht="15" hidden="false" customHeight="false" outlineLevel="0" collapsed="false">
      <c r="A16" s="5" t="s">
        <v>131</v>
      </c>
      <c r="B16" s="5" t="s">
        <v>32</v>
      </c>
      <c r="C16" s="5" t="s">
        <v>123</v>
      </c>
      <c r="D16" s="5" t="s">
        <v>132</v>
      </c>
      <c r="E16" s="5" t="s">
        <v>73</v>
      </c>
      <c r="F16" s="5" t="s">
        <v>133</v>
      </c>
      <c r="G16" s="5" t="s">
        <v>126</v>
      </c>
      <c r="H16" s="5"/>
      <c r="I16" s="5" t="s">
        <v>134</v>
      </c>
      <c r="J16" s="5" t="s">
        <v>15</v>
      </c>
      <c r="K16" s="5"/>
      <c r="L16" s="5" t="s">
        <v>128</v>
      </c>
      <c r="M16" s="5" t="s">
        <v>129</v>
      </c>
      <c r="N16" s="5" t="s">
        <v>135</v>
      </c>
    </row>
    <row r="17" customFormat="false" ht="15" hidden="false" customHeight="false" outlineLevel="0" collapsed="false">
      <c r="A17" s="5" t="s">
        <v>136</v>
      </c>
      <c r="B17" s="5" t="s">
        <v>32</v>
      </c>
      <c r="C17" s="5" t="s">
        <v>131</v>
      </c>
      <c r="D17" s="5" t="s">
        <v>137</v>
      </c>
      <c r="E17" s="5" t="s">
        <v>100</v>
      </c>
      <c r="F17" s="5" t="s">
        <v>138</v>
      </c>
      <c r="G17" s="5" t="s">
        <v>126</v>
      </c>
      <c r="H17" s="5"/>
      <c r="I17" s="5" t="s">
        <v>134</v>
      </c>
      <c r="J17" s="5" t="s">
        <v>15</v>
      </c>
      <c r="K17" s="5"/>
      <c r="L17" s="5" t="s">
        <v>128</v>
      </c>
      <c r="M17" s="5" t="s">
        <v>129</v>
      </c>
      <c r="N17" s="5"/>
    </row>
    <row r="18" customFormat="false" ht="15" hidden="false" customHeight="false" outlineLevel="0" collapsed="false">
      <c r="A18" s="5" t="s">
        <v>139</v>
      </c>
      <c r="B18" s="5" t="s">
        <v>32</v>
      </c>
      <c r="C18" s="5" t="s">
        <v>123</v>
      </c>
      <c r="D18" s="5" t="s">
        <v>140</v>
      </c>
      <c r="E18" s="5" t="s">
        <v>73</v>
      </c>
      <c r="F18" s="5" t="s">
        <v>141</v>
      </c>
      <c r="G18" s="5" t="s">
        <v>126</v>
      </c>
      <c r="H18" s="5"/>
      <c r="I18" s="5" t="s">
        <v>142</v>
      </c>
      <c r="J18" s="5" t="s">
        <v>14</v>
      </c>
      <c r="K18" s="5"/>
      <c r="L18" s="5" t="s">
        <v>128</v>
      </c>
      <c r="M18" s="5" t="s">
        <v>129</v>
      </c>
      <c r="N18" s="5"/>
    </row>
    <row r="19" customFormat="false" ht="15" hidden="false" customHeight="false" outlineLevel="0" collapsed="false">
      <c r="A19" s="5" t="s">
        <v>143</v>
      </c>
      <c r="B19" s="5" t="s">
        <v>32</v>
      </c>
      <c r="C19" s="5" t="s">
        <v>139</v>
      </c>
      <c r="D19" s="5" t="s">
        <v>144</v>
      </c>
      <c r="E19" s="5" t="s">
        <v>73</v>
      </c>
      <c r="F19" s="5" t="s">
        <v>145</v>
      </c>
      <c r="G19" s="5" t="s">
        <v>126</v>
      </c>
      <c r="H19" s="5"/>
      <c r="I19" s="5" t="s">
        <v>142</v>
      </c>
      <c r="J19" s="5" t="s">
        <v>14</v>
      </c>
      <c r="K19" s="5"/>
      <c r="L19" s="5" t="s">
        <v>128</v>
      </c>
      <c r="M19" s="5" t="s">
        <v>129</v>
      </c>
      <c r="N19" s="5"/>
    </row>
    <row r="20" customFormat="false" ht="23.85" hidden="false" customHeight="false" outlineLevel="0" collapsed="false">
      <c r="A20" s="5" t="s">
        <v>146</v>
      </c>
      <c r="B20" s="5" t="s">
        <v>32</v>
      </c>
      <c r="C20" s="5" t="s">
        <v>31</v>
      </c>
      <c r="D20" s="5" t="s">
        <v>147</v>
      </c>
      <c r="E20" s="5" t="s">
        <v>34</v>
      </c>
      <c r="F20" s="5" t="s">
        <v>148</v>
      </c>
      <c r="G20" s="5" t="s">
        <v>102</v>
      </c>
      <c r="H20" s="5"/>
      <c r="I20" s="5" t="s">
        <v>149</v>
      </c>
      <c r="J20" s="5" t="s">
        <v>14</v>
      </c>
      <c r="K20" s="5"/>
      <c r="L20" s="5" t="s">
        <v>38</v>
      </c>
      <c r="M20" s="5" t="s">
        <v>78</v>
      </c>
      <c r="N20" s="5" t="s">
        <v>150</v>
      </c>
    </row>
    <row r="21" customFormat="false" ht="23.85" hidden="false" customHeight="false" outlineLevel="0" collapsed="false">
      <c r="A21" s="5" t="s">
        <v>151</v>
      </c>
      <c r="B21" s="5" t="s">
        <v>32</v>
      </c>
      <c r="C21" s="5" t="s">
        <v>146</v>
      </c>
      <c r="D21" s="5" t="s">
        <v>152</v>
      </c>
      <c r="E21" s="5" t="s">
        <v>52</v>
      </c>
      <c r="F21" s="5" t="s">
        <v>153</v>
      </c>
      <c r="G21" s="5" t="s">
        <v>102</v>
      </c>
      <c r="H21" s="5"/>
      <c r="I21" s="5" t="s">
        <v>154</v>
      </c>
      <c r="J21" s="5" t="s">
        <v>14</v>
      </c>
      <c r="K21" s="5"/>
      <c r="L21" s="5" t="s">
        <v>47</v>
      </c>
      <c r="M21" s="5" t="s">
        <v>155</v>
      </c>
      <c r="N21" s="5" t="s">
        <v>156</v>
      </c>
    </row>
    <row r="22" customFormat="false" ht="35.05" hidden="false" customHeight="false" outlineLevel="0" collapsed="false">
      <c r="A22" s="5" t="s">
        <v>157</v>
      </c>
      <c r="B22" s="5" t="s">
        <v>32</v>
      </c>
      <c r="C22" s="5" t="s">
        <v>151</v>
      </c>
      <c r="D22" s="5" t="s">
        <v>158</v>
      </c>
      <c r="E22" s="5" t="s">
        <v>59</v>
      </c>
      <c r="F22" s="5" t="s">
        <v>159</v>
      </c>
      <c r="G22" s="5" t="s">
        <v>102</v>
      </c>
      <c r="H22" s="5"/>
      <c r="I22" s="5" t="s">
        <v>160</v>
      </c>
      <c r="J22" s="5" t="s">
        <v>14</v>
      </c>
      <c r="K22" s="5"/>
      <c r="L22" s="5" t="s">
        <v>47</v>
      </c>
      <c r="M22" s="5" t="s">
        <v>161</v>
      </c>
      <c r="N22" s="5" t="s">
        <v>162</v>
      </c>
    </row>
    <row r="23" customFormat="false" ht="35.05" hidden="false" customHeight="false" outlineLevel="0" collapsed="false">
      <c r="A23" s="5" t="s">
        <v>163</v>
      </c>
      <c r="B23" s="5" t="s">
        <v>32</v>
      </c>
      <c r="C23" s="5" t="s">
        <v>151</v>
      </c>
      <c r="D23" s="5" t="s">
        <v>164</v>
      </c>
      <c r="E23" s="5" t="s">
        <v>59</v>
      </c>
      <c r="F23" s="5" t="s">
        <v>159</v>
      </c>
      <c r="G23" s="5" t="s">
        <v>102</v>
      </c>
      <c r="H23" s="5"/>
      <c r="I23" s="5" t="s">
        <v>165</v>
      </c>
      <c r="J23" s="5" t="s">
        <v>14</v>
      </c>
      <c r="K23" s="5"/>
      <c r="L23" s="5" t="s">
        <v>47</v>
      </c>
      <c r="M23" s="5" t="s">
        <v>166</v>
      </c>
      <c r="N23" s="5" t="s">
        <v>167</v>
      </c>
    </row>
    <row r="24" customFormat="false" ht="46.25" hidden="false" customHeight="false" outlineLevel="0" collapsed="false">
      <c r="A24" s="5" t="s">
        <v>168</v>
      </c>
      <c r="B24" s="5" t="s">
        <v>32</v>
      </c>
      <c r="C24" s="5" t="s">
        <v>157</v>
      </c>
      <c r="D24" s="5" t="s">
        <v>169</v>
      </c>
      <c r="E24" s="5" t="s">
        <v>170</v>
      </c>
      <c r="F24" s="5" t="s">
        <v>171</v>
      </c>
      <c r="G24" s="5" t="s">
        <v>102</v>
      </c>
      <c r="H24" s="5" t="s">
        <v>172</v>
      </c>
      <c r="I24" s="5" t="s">
        <v>173</v>
      </c>
      <c r="J24" s="5" t="s">
        <v>14</v>
      </c>
      <c r="K24" s="5"/>
      <c r="L24" s="5" t="s">
        <v>47</v>
      </c>
      <c r="M24" s="5" t="s">
        <v>174</v>
      </c>
      <c r="N24" s="5" t="s">
        <v>175</v>
      </c>
    </row>
    <row r="25" customFormat="false" ht="23.85" hidden="false" customHeight="false" outlineLevel="0" collapsed="false">
      <c r="A25" s="5" t="s">
        <v>176</v>
      </c>
      <c r="B25" s="5" t="s">
        <v>32</v>
      </c>
      <c r="C25" s="5" t="s">
        <v>146</v>
      </c>
      <c r="D25" s="5" t="s">
        <v>177</v>
      </c>
      <c r="E25" s="5" t="s">
        <v>52</v>
      </c>
      <c r="F25" s="5" t="s">
        <v>178</v>
      </c>
      <c r="G25" s="5" t="s">
        <v>102</v>
      </c>
      <c r="H25" s="5"/>
      <c r="I25" s="5" t="s">
        <v>179</v>
      </c>
      <c r="J25" s="5" t="s">
        <v>14</v>
      </c>
      <c r="K25" s="5"/>
      <c r="L25" s="5" t="s">
        <v>47</v>
      </c>
      <c r="M25" s="5" t="s">
        <v>69</v>
      </c>
      <c r="N25" s="5" t="s">
        <v>180</v>
      </c>
    </row>
    <row r="26" customFormat="false" ht="23.85" hidden="false" customHeight="false" outlineLevel="0" collapsed="false">
      <c r="A26" s="5" t="s">
        <v>181</v>
      </c>
      <c r="B26" s="5" t="s">
        <v>32</v>
      </c>
      <c r="C26" s="5" t="s">
        <v>176</v>
      </c>
      <c r="D26" s="5" t="s">
        <v>182</v>
      </c>
      <c r="E26" s="5" t="s">
        <v>59</v>
      </c>
      <c r="F26" s="5" t="s">
        <v>183</v>
      </c>
      <c r="G26" s="5" t="s">
        <v>102</v>
      </c>
      <c r="H26" s="5"/>
      <c r="I26" s="5" t="s">
        <v>184</v>
      </c>
      <c r="J26" s="5" t="s">
        <v>14</v>
      </c>
      <c r="K26" s="5"/>
      <c r="L26" s="5" t="s">
        <v>47</v>
      </c>
      <c r="M26" s="5" t="s">
        <v>69</v>
      </c>
      <c r="N26" s="5" t="s">
        <v>185</v>
      </c>
    </row>
    <row r="27" customFormat="false" ht="15" hidden="false" customHeight="false" outlineLevel="0" collapsed="false">
      <c r="A27" s="5" t="s">
        <v>186</v>
      </c>
      <c r="B27" s="5" t="s">
        <v>32</v>
      </c>
      <c r="C27" s="5" t="s">
        <v>181</v>
      </c>
      <c r="D27" s="5" t="s">
        <v>187</v>
      </c>
      <c r="E27" s="5" t="s">
        <v>100</v>
      </c>
      <c r="F27" s="5" t="s">
        <v>188</v>
      </c>
      <c r="G27" s="5" t="s">
        <v>102</v>
      </c>
      <c r="H27" s="5"/>
      <c r="I27" s="5" t="s">
        <v>189</v>
      </c>
      <c r="J27" s="5" t="s">
        <v>14</v>
      </c>
      <c r="K27" s="5"/>
      <c r="L27" s="5" t="s">
        <v>47</v>
      </c>
      <c r="M27" s="5" t="s">
        <v>69</v>
      </c>
      <c r="N27" s="5"/>
    </row>
    <row r="28" customFormat="false" ht="15" hidden="false" customHeight="false" outlineLevel="0" collapsed="false">
      <c r="A28" s="5" t="s">
        <v>190</v>
      </c>
      <c r="B28" s="5" t="s">
        <v>32</v>
      </c>
      <c r="C28" s="5" t="s">
        <v>146</v>
      </c>
      <c r="D28" s="5" t="s">
        <v>191</v>
      </c>
      <c r="E28" s="5" t="s">
        <v>34</v>
      </c>
      <c r="F28" s="5" t="s">
        <v>192</v>
      </c>
      <c r="G28" s="5" t="s">
        <v>102</v>
      </c>
      <c r="H28" s="5"/>
      <c r="I28" s="5" t="s">
        <v>193</v>
      </c>
      <c r="J28" s="5" t="s">
        <v>14</v>
      </c>
      <c r="K28" s="5"/>
      <c r="L28" s="5" t="s">
        <v>128</v>
      </c>
      <c r="M28" s="5" t="s">
        <v>129</v>
      </c>
      <c r="N28" s="5"/>
    </row>
    <row r="29" customFormat="false" ht="15" hidden="false" customHeight="false" outlineLevel="0" collapsed="false">
      <c r="A29" s="5" t="s">
        <v>194</v>
      </c>
      <c r="B29" s="5" t="s">
        <v>32</v>
      </c>
      <c r="C29" s="5" t="s">
        <v>190</v>
      </c>
      <c r="D29" s="5" t="s">
        <v>195</v>
      </c>
      <c r="E29" s="5" t="s">
        <v>73</v>
      </c>
      <c r="F29" s="5" t="s">
        <v>196</v>
      </c>
      <c r="G29" s="5" t="s">
        <v>102</v>
      </c>
      <c r="H29" s="5"/>
      <c r="I29" s="5" t="s">
        <v>193</v>
      </c>
      <c r="J29" s="5" t="s">
        <v>14</v>
      </c>
      <c r="K29" s="5"/>
      <c r="L29" s="5" t="s">
        <v>128</v>
      </c>
      <c r="M29" s="5" t="s">
        <v>129</v>
      </c>
      <c r="N29" s="5"/>
    </row>
    <row r="30" customFormat="false" ht="15" hidden="false" customHeight="false" outlineLevel="0" collapsed="false">
      <c r="A30" s="5" t="s">
        <v>197</v>
      </c>
      <c r="B30" s="5" t="s">
        <v>32</v>
      </c>
      <c r="C30" s="5" t="s">
        <v>190</v>
      </c>
      <c r="D30" s="5" t="s">
        <v>198</v>
      </c>
      <c r="E30" s="5" t="s">
        <v>43</v>
      </c>
      <c r="F30" s="5" t="s">
        <v>44</v>
      </c>
      <c r="G30" s="5" t="s">
        <v>102</v>
      </c>
      <c r="H30" s="5"/>
      <c r="I30" s="5" t="s">
        <v>193</v>
      </c>
      <c r="J30" s="5" t="s">
        <v>14</v>
      </c>
      <c r="K30" s="5"/>
      <c r="L30" s="5" t="s">
        <v>128</v>
      </c>
      <c r="M30" s="5" t="s">
        <v>129</v>
      </c>
      <c r="N30" s="5"/>
    </row>
    <row r="31" customFormat="false" ht="23.85" hidden="false" customHeight="false" outlineLevel="0" collapsed="false">
      <c r="A31" s="5" t="s">
        <v>199</v>
      </c>
      <c r="B31" s="5" t="s">
        <v>32</v>
      </c>
      <c r="C31" s="5" t="s">
        <v>146</v>
      </c>
      <c r="D31" s="5" t="s">
        <v>200</v>
      </c>
      <c r="E31" s="5" t="s">
        <v>34</v>
      </c>
      <c r="F31" s="5" t="s">
        <v>201</v>
      </c>
      <c r="G31" s="5" t="s">
        <v>102</v>
      </c>
      <c r="H31" s="5" t="s">
        <v>202</v>
      </c>
      <c r="I31" s="5" t="s">
        <v>203</v>
      </c>
      <c r="J31" s="5" t="s">
        <v>14</v>
      </c>
      <c r="K31" s="5"/>
      <c r="L31" s="5" t="s">
        <v>47</v>
      </c>
      <c r="M31" s="5" t="s">
        <v>204</v>
      </c>
      <c r="N31" s="5" t="s">
        <v>205</v>
      </c>
    </row>
    <row r="32" customFormat="false" ht="15" hidden="false" customHeight="false" outlineLevel="0" collapsed="false">
      <c r="A32" s="5" t="s">
        <v>206</v>
      </c>
      <c r="B32" s="5" t="s">
        <v>32</v>
      </c>
      <c r="C32" s="5" t="s">
        <v>146</v>
      </c>
      <c r="D32" s="5" t="s">
        <v>207</v>
      </c>
      <c r="E32" s="5" t="s">
        <v>34</v>
      </c>
      <c r="F32" s="5" t="s">
        <v>208</v>
      </c>
      <c r="G32" s="5" t="s">
        <v>102</v>
      </c>
      <c r="H32" s="5"/>
      <c r="I32" s="5" t="s">
        <v>209</v>
      </c>
      <c r="J32" s="5" t="s">
        <v>14</v>
      </c>
      <c r="K32" s="5"/>
      <c r="L32" s="5" t="s">
        <v>47</v>
      </c>
      <c r="M32" s="5" t="s">
        <v>129</v>
      </c>
      <c r="N32" s="5" t="s">
        <v>210</v>
      </c>
    </row>
    <row r="33" customFormat="false" ht="46.25" hidden="false" customHeight="false" outlineLevel="0" collapsed="false">
      <c r="A33" s="5" t="s">
        <v>211</v>
      </c>
      <c r="B33" s="5" t="s">
        <v>32</v>
      </c>
      <c r="C33" s="5"/>
      <c r="D33" s="5" t="s">
        <v>212</v>
      </c>
      <c r="E33" s="5" t="s">
        <v>213</v>
      </c>
      <c r="F33" s="5" t="s">
        <v>214</v>
      </c>
      <c r="G33" s="5" t="s">
        <v>215</v>
      </c>
      <c r="H33" s="5"/>
      <c r="I33" s="5" t="s">
        <v>216</v>
      </c>
      <c r="J33" s="5" t="s">
        <v>15</v>
      </c>
      <c r="K33" s="5"/>
      <c r="L33" s="5" t="s">
        <v>47</v>
      </c>
      <c r="M33" s="5" t="s">
        <v>217</v>
      </c>
      <c r="N33" s="5" t="s">
        <v>218</v>
      </c>
    </row>
    <row r="34" customFormat="false" ht="23.85" hidden="false" customHeight="false" outlineLevel="0" collapsed="false">
      <c r="A34" s="5" t="s">
        <v>219</v>
      </c>
      <c r="B34" s="5" t="s">
        <v>32</v>
      </c>
      <c r="C34" s="5" t="s">
        <v>31</v>
      </c>
      <c r="D34" s="5" t="s">
        <v>220</v>
      </c>
      <c r="E34" s="5" t="s">
        <v>34</v>
      </c>
      <c r="F34" s="5" t="s">
        <v>221</v>
      </c>
      <c r="G34" s="5" t="s">
        <v>36</v>
      </c>
      <c r="H34" s="5" t="s">
        <v>222</v>
      </c>
      <c r="I34" s="5" t="s">
        <v>223</v>
      </c>
      <c r="J34" s="5" t="s">
        <v>14</v>
      </c>
      <c r="K34" s="5"/>
      <c r="L34" s="5" t="s">
        <v>47</v>
      </c>
      <c r="M34" s="5" t="s">
        <v>224</v>
      </c>
      <c r="N34" s="5" t="s">
        <v>225</v>
      </c>
    </row>
    <row r="35" customFormat="false" ht="23.85" hidden="false" customHeight="false" outlineLevel="0" collapsed="false">
      <c r="A35" s="5" t="s">
        <v>226</v>
      </c>
      <c r="B35" s="5" t="s">
        <v>32</v>
      </c>
      <c r="C35" s="5" t="s">
        <v>219</v>
      </c>
      <c r="D35" s="5" t="s">
        <v>227</v>
      </c>
      <c r="E35" s="5" t="s">
        <v>228</v>
      </c>
      <c r="F35" s="5" t="s">
        <v>229</v>
      </c>
      <c r="G35" s="5" t="s">
        <v>75</v>
      </c>
      <c r="H35" s="5" t="s">
        <v>230</v>
      </c>
      <c r="I35" s="5" t="s">
        <v>231</v>
      </c>
      <c r="J35" s="5" t="s">
        <v>14</v>
      </c>
      <c r="K35" s="5"/>
      <c r="L35" s="5" t="s">
        <v>47</v>
      </c>
      <c r="M35" s="5" t="s">
        <v>224</v>
      </c>
      <c r="N35" s="5" t="s">
        <v>232</v>
      </c>
    </row>
    <row r="36" customFormat="false" ht="23.85" hidden="false" customHeight="false" outlineLevel="0" collapsed="false">
      <c r="A36" s="5" t="s">
        <v>233</v>
      </c>
      <c r="B36" s="5" t="s">
        <v>32</v>
      </c>
      <c r="C36" s="5" t="s">
        <v>31</v>
      </c>
      <c r="D36" s="5" t="s">
        <v>234</v>
      </c>
      <c r="E36" s="5" t="s">
        <v>235</v>
      </c>
      <c r="F36" s="5" t="s">
        <v>236</v>
      </c>
      <c r="G36" s="5" t="s">
        <v>36</v>
      </c>
      <c r="H36" s="5"/>
      <c r="I36" s="5" t="s">
        <v>237</v>
      </c>
      <c r="J36" s="5" t="s">
        <v>17</v>
      </c>
      <c r="K36" s="5"/>
      <c r="L36" s="5" t="s">
        <v>47</v>
      </c>
      <c r="M36" s="5" t="s">
        <v>129</v>
      </c>
      <c r="N36" s="5" t="s">
        <v>238</v>
      </c>
    </row>
    <row r="37" customFormat="false" ht="23.85" hidden="false" customHeight="false" outlineLevel="0" collapsed="false">
      <c r="A37" s="5" t="s">
        <v>239</v>
      </c>
      <c r="B37" s="5" t="s">
        <v>240</v>
      </c>
      <c r="C37" s="5"/>
      <c r="D37" s="5" t="s">
        <v>241</v>
      </c>
      <c r="E37" s="5" t="s">
        <v>34</v>
      </c>
      <c r="F37" s="5" t="s">
        <v>242</v>
      </c>
      <c r="G37" s="5" t="s">
        <v>243</v>
      </c>
      <c r="H37" s="5" t="s">
        <v>244</v>
      </c>
      <c r="I37" s="5" t="s">
        <v>245</v>
      </c>
      <c r="J37" s="5" t="s">
        <v>14</v>
      </c>
      <c r="K37" s="5"/>
      <c r="L37" s="5" t="s">
        <v>47</v>
      </c>
      <c r="M37" s="5" t="s">
        <v>224</v>
      </c>
      <c r="N37" s="5" t="s">
        <v>246</v>
      </c>
    </row>
    <row r="38" customFormat="false" ht="15" hidden="false" customHeight="false" outlineLevel="0" collapsed="false">
      <c r="A38" s="5" t="s">
        <v>247</v>
      </c>
      <c r="B38" s="5" t="s">
        <v>240</v>
      </c>
      <c r="C38" s="5" t="s">
        <v>239</v>
      </c>
      <c r="D38" s="5" t="s">
        <v>248</v>
      </c>
      <c r="E38" s="5" t="s">
        <v>100</v>
      </c>
      <c r="F38" s="5" t="s">
        <v>249</v>
      </c>
      <c r="G38" s="5" t="s">
        <v>243</v>
      </c>
      <c r="H38" s="5" t="s">
        <v>250</v>
      </c>
      <c r="I38" s="5" t="s">
        <v>251</v>
      </c>
      <c r="J38" s="5" t="s">
        <v>14</v>
      </c>
      <c r="K38" s="5"/>
      <c r="L38" s="5" t="s">
        <v>47</v>
      </c>
      <c r="M38" s="5" t="s">
        <v>224</v>
      </c>
      <c r="N38" s="5" t="s">
        <v>252</v>
      </c>
    </row>
    <row r="39" customFormat="false" ht="23.85" hidden="false" customHeight="false" outlineLevel="0" collapsed="false">
      <c r="A39" s="5" t="s">
        <v>253</v>
      </c>
      <c r="B39" s="5" t="s">
        <v>240</v>
      </c>
      <c r="C39" s="5"/>
      <c r="D39" s="5" t="s">
        <v>152</v>
      </c>
      <c r="E39" s="5" t="s">
        <v>52</v>
      </c>
      <c r="F39" s="5" t="s">
        <v>254</v>
      </c>
      <c r="G39" s="5" t="s">
        <v>243</v>
      </c>
      <c r="H39" s="5" t="s">
        <v>255</v>
      </c>
      <c r="I39" s="5" t="s">
        <v>256</v>
      </c>
      <c r="J39" s="5" t="s">
        <v>14</v>
      </c>
      <c r="K39" s="5"/>
      <c r="L39" s="5" t="s">
        <v>47</v>
      </c>
      <c r="M39" s="5" t="s">
        <v>155</v>
      </c>
      <c r="N39" s="5" t="s">
        <v>257</v>
      </c>
    </row>
    <row r="40" customFormat="false" ht="46.25" hidden="false" customHeight="false" outlineLevel="0" collapsed="false">
      <c r="A40" s="5" t="s">
        <v>258</v>
      </c>
      <c r="B40" s="5" t="s">
        <v>240</v>
      </c>
      <c r="C40" s="5" t="s">
        <v>253</v>
      </c>
      <c r="D40" s="5" t="s">
        <v>259</v>
      </c>
      <c r="E40" s="5" t="s">
        <v>59</v>
      </c>
      <c r="F40" s="5" t="s">
        <v>260</v>
      </c>
      <c r="G40" s="5" t="s">
        <v>243</v>
      </c>
      <c r="H40" s="5" t="s">
        <v>261</v>
      </c>
      <c r="I40" s="5" t="s">
        <v>262</v>
      </c>
      <c r="J40" s="5" t="s">
        <v>14</v>
      </c>
      <c r="K40" s="5"/>
      <c r="L40" s="5" t="s">
        <v>47</v>
      </c>
      <c r="M40" s="5" t="s">
        <v>48</v>
      </c>
      <c r="N40" s="5" t="s">
        <v>263</v>
      </c>
    </row>
    <row r="41" customFormat="false" ht="35.05" hidden="false" customHeight="false" outlineLevel="0" collapsed="false">
      <c r="A41" s="5" t="s">
        <v>264</v>
      </c>
      <c r="B41" s="5" t="s">
        <v>240</v>
      </c>
      <c r="C41" s="5" t="s">
        <v>253</v>
      </c>
      <c r="D41" s="5" t="s">
        <v>164</v>
      </c>
      <c r="E41" s="5" t="s">
        <v>59</v>
      </c>
      <c r="F41" s="5" t="s">
        <v>260</v>
      </c>
      <c r="G41" s="5" t="s">
        <v>243</v>
      </c>
      <c r="H41" s="5" t="s">
        <v>265</v>
      </c>
      <c r="I41" s="5" t="s">
        <v>266</v>
      </c>
      <c r="J41" s="5" t="s">
        <v>14</v>
      </c>
      <c r="K41" s="5"/>
      <c r="L41" s="5" t="s">
        <v>47</v>
      </c>
      <c r="M41" s="5" t="s">
        <v>69</v>
      </c>
      <c r="N41" s="5" t="s">
        <v>267</v>
      </c>
    </row>
    <row r="42" customFormat="false" ht="23.85" hidden="false" customHeight="false" outlineLevel="0" collapsed="false">
      <c r="A42" s="5" t="s">
        <v>268</v>
      </c>
      <c r="B42" s="5" t="s">
        <v>240</v>
      </c>
      <c r="C42" s="5"/>
      <c r="D42" s="5" t="s">
        <v>269</v>
      </c>
      <c r="E42" s="5" t="s">
        <v>52</v>
      </c>
      <c r="F42" s="5" t="s">
        <v>270</v>
      </c>
      <c r="G42" s="5" t="s">
        <v>243</v>
      </c>
      <c r="H42" s="5" t="s">
        <v>265</v>
      </c>
      <c r="I42" s="5" t="s">
        <v>271</v>
      </c>
      <c r="J42" s="5" t="s">
        <v>14</v>
      </c>
      <c r="K42" s="5"/>
      <c r="L42" s="5" t="s">
        <v>47</v>
      </c>
      <c r="M42" s="5" t="s">
        <v>69</v>
      </c>
      <c r="N42" s="5" t="s">
        <v>272</v>
      </c>
    </row>
    <row r="43" customFormat="false" ht="15" hidden="false" customHeight="false" outlineLevel="0" collapsed="false">
      <c r="A43" s="5" t="s">
        <v>273</v>
      </c>
      <c r="B43" s="5" t="s">
        <v>240</v>
      </c>
      <c r="C43" s="5" t="s">
        <v>268</v>
      </c>
      <c r="D43" s="5" t="s">
        <v>274</v>
      </c>
      <c r="E43" s="5" t="s">
        <v>59</v>
      </c>
      <c r="F43" s="5" t="s">
        <v>275</v>
      </c>
      <c r="G43" s="5" t="s">
        <v>243</v>
      </c>
      <c r="H43" s="5"/>
      <c r="I43" s="5" t="s">
        <v>276</v>
      </c>
      <c r="J43" s="5" t="s">
        <v>14</v>
      </c>
      <c r="K43" s="5"/>
      <c r="L43" s="5" t="s">
        <v>47</v>
      </c>
      <c r="M43" s="5" t="s">
        <v>69</v>
      </c>
      <c r="N43" s="5" t="s">
        <v>277</v>
      </c>
    </row>
    <row r="44" customFormat="false" ht="15" hidden="false" customHeight="false" outlineLevel="0" collapsed="false">
      <c r="A44" s="5" t="s">
        <v>278</v>
      </c>
      <c r="B44" s="5" t="s">
        <v>240</v>
      </c>
      <c r="C44" s="5" t="s">
        <v>273</v>
      </c>
      <c r="D44" s="5" t="s">
        <v>279</v>
      </c>
      <c r="E44" s="5" t="s">
        <v>73</v>
      </c>
      <c r="F44" s="5" t="s">
        <v>280</v>
      </c>
      <c r="G44" s="5" t="s">
        <v>243</v>
      </c>
      <c r="H44" s="5"/>
      <c r="I44" s="5" t="s">
        <v>281</v>
      </c>
      <c r="J44" s="5" t="s">
        <v>14</v>
      </c>
      <c r="K44" s="5"/>
      <c r="L44" s="5" t="s">
        <v>47</v>
      </c>
      <c r="M44" s="5" t="s">
        <v>69</v>
      </c>
      <c r="N44" s="5" t="s">
        <v>282</v>
      </c>
    </row>
    <row r="45" customFormat="false" ht="15" hidden="false" customHeight="false" outlineLevel="0" collapsed="false">
      <c r="A45" s="5" t="s">
        <v>283</v>
      </c>
      <c r="B45" s="5" t="s">
        <v>240</v>
      </c>
      <c r="C45" s="5"/>
      <c r="D45" s="5" t="s">
        <v>284</v>
      </c>
      <c r="E45" s="5" t="s">
        <v>52</v>
      </c>
      <c r="F45" s="5" t="s">
        <v>285</v>
      </c>
      <c r="G45" s="5" t="s">
        <v>243</v>
      </c>
      <c r="H45" s="5" t="s">
        <v>261</v>
      </c>
      <c r="I45" s="5" t="s">
        <v>286</v>
      </c>
      <c r="J45" s="5" t="s">
        <v>14</v>
      </c>
      <c r="K45" s="5"/>
      <c r="L45" s="5" t="s">
        <v>47</v>
      </c>
      <c r="M45" s="5" t="s">
        <v>287</v>
      </c>
      <c r="N45" s="5" t="s">
        <v>288</v>
      </c>
    </row>
    <row r="46" customFormat="false" ht="35.05" hidden="false" customHeight="false" outlineLevel="0" collapsed="false">
      <c r="A46" s="5" t="s">
        <v>289</v>
      </c>
      <c r="B46" s="5" t="s">
        <v>240</v>
      </c>
      <c r="C46" s="5" t="s">
        <v>283</v>
      </c>
      <c r="D46" s="5" t="s">
        <v>290</v>
      </c>
      <c r="E46" s="5" t="s">
        <v>73</v>
      </c>
      <c r="F46" s="5" t="s">
        <v>291</v>
      </c>
      <c r="G46" s="5" t="s">
        <v>243</v>
      </c>
      <c r="H46" s="5" t="s">
        <v>292</v>
      </c>
      <c r="I46" s="5" t="s">
        <v>293</v>
      </c>
      <c r="J46" s="5" t="s">
        <v>14</v>
      </c>
      <c r="K46" s="5"/>
      <c r="L46" s="5" t="s">
        <v>47</v>
      </c>
      <c r="M46" s="5" t="s">
        <v>287</v>
      </c>
      <c r="N46" s="5" t="s">
        <v>294</v>
      </c>
    </row>
    <row r="47" customFormat="false" ht="15" hidden="false" customHeight="false" outlineLevel="0" collapsed="false">
      <c r="A47" s="5" t="s">
        <v>295</v>
      </c>
      <c r="B47" s="5" t="s">
        <v>240</v>
      </c>
      <c r="C47" s="5"/>
      <c r="D47" s="5" t="s">
        <v>296</v>
      </c>
      <c r="E47" s="5" t="s">
        <v>66</v>
      </c>
      <c r="F47" s="5" t="s">
        <v>297</v>
      </c>
      <c r="G47" s="5" t="s">
        <v>243</v>
      </c>
      <c r="H47" s="5"/>
      <c r="I47" s="5" t="s">
        <v>298</v>
      </c>
      <c r="J47" s="5" t="s">
        <v>14</v>
      </c>
      <c r="K47" s="5"/>
      <c r="L47" s="5" t="s">
        <v>47</v>
      </c>
      <c r="M47" s="5" t="s">
        <v>78</v>
      </c>
      <c r="N47" s="5" t="s">
        <v>299</v>
      </c>
    </row>
    <row r="48" customFormat="false" ht="15" hidden="false" customHeight="false" outlineLevel="0" collapsed="false">
      <c r="A48" s="5" t="s">
        <v>300</v>
      </c>
      <c r="B48" s="5" t="s">
        <v>240</v>
      </c>
      <c r="C48" s="5" t="s">
        <v>295</v>
      </c>
      <c r="D48" s="5" t="s">
        <v>301</v>
      </c>
      <c r="E48" s="5" t="s">
        <v>52</v>
      </c>
      <c r="F48" s="5" t="s">
        <v>302</v>
      </c>
      <c r="G48" s="5" t="s">
        <v>243</v>
      </c>
      <c r="H48" s="5"/>
      <c r="I48" s="5" t="s">
        <v>303</v>
      </c>
      <c r="J48" s="5" t="s">
        <v>15</v>
      </c>
      <c r="K48" s="5"/>
      <c r="L48" s="5" t="s">
        <v>47</v>
      </c>
      <c r="M48" s="5" t="s">
        <v>155</v>
      </c>
      <c r="N48" s="5" t="s">
        <v>304</v>
      </c>
    </row>
    <row r="49" customFormat="false" ht="15" hidden="false" customHeight="false" outlineLevel="0" collapsed="false">
      <c r="A49" s="5" t="s">
        <v>305</v>
      </c>
      <c r="B49" s="5" t="s">
        <v>240</v>
      </c>
      <c r="C49" s="5" t="s">
        <v>295</v>
      </c>
      <c r="D49" s="5" t="s">
        <v>306</v>
      </c>
      <c r="E49" s="5" t="s">
        <v>52</v>
      </c>
      <c r="F49" s="5" t="s">
        <v>307</v>
      </c>
      <c r="G49" s="5" t="s">
        <v>243</v>
      </c>
      <c r="H49" s="5" t="s">
        <v>265</v>
      </c>
      <c r="I49" s="5" t="s">
        <v>308</v>
      </c>
      <c r="J49" s="5" t="s">
        <v>14</v>
      </c>
      <c r="K49" s="5"/>
      <c r="L49" s="5" t="s">
        <v>47</v>
      </c>
      <c r="M49" s="5" t="s">
        <v>78</v>
      </c>
      <c r="N49" s="5" t="s">
        <v>309</v>
      </c>
    </row>
    <row r="50" customFormat="false" ht="15" hidden="false" customHeight="false" outlineLevel="0" collapsed="false">
      <c r="A50" s="5" t="s">
        <v>310</v>
      </c>
      <c r="B50" s="5" t="s">
        <v>240</v>
      </c>
      <c r="C50" s="5"/>
      <c r="D50" s="5" t="s">
        <v>311</v>
      </c>
      <c r="E50" s="5" t="s">
        <v>66</v>
      </c>
      <c r="F50" s="5" t="s">
        <v>312</v>
      </c>
      <c r="G50" s="5" t="s">
        <v>243</v>
      </c>
      <c r="H50" s="5"/>
      <c r="I50" s="5" t="s">
        <v>313</v>
      </c>
      <c r="J50" s="5" t="s">
        <v>14</v>
      </c>
      <c r="K50" s="5"/>
      <c r="L50" s="5" t="s">
        <v>47</v>
      </c>
      <c r="M50" s="5" t="s">
        <v>224</v>
      </c>
      <c r="N50" s="5"/>
    </row>
    <row r="51" customFormat="false" ht="23.85" hidden="false" customHeight="false" outlineLevel="0" collapsed="false">
      <c r="A51" s="5" t="s">
        <v>314</v>
      </c>
      <c r="B51" s="5" t="s">
        <v>240</v>
      </c>
      <c r="C51" s="5" t="s">
        <v>310</v>
      </c>
      <c r="D51" s="5" t="s">
        <v>315</v>
      </c>
      <c r="E51" s="5" t="s">
        <v>34</v>
      </c>
      <c r="F51" s="5" t="s">
        <v>316</v>
      </c>
      <c r="G51" s="5" t="s">
        <v>243</v>
      </c>
      <c r="H51" s="5" t="s">
        <v>317</v>
      </c>
      <c r="I51" s="5" t="s">
        <v>318</v>
      </c>
      <c r="J51" s="5" t="s">
        <v>14</v>
      </c>
      <c r="K51" s="5"/>
      <c r="L51" s="5" t="s">
        <v>47</v>
      </c>
      <c r="M51" s="5" t="s">
        <v>224</v>
      </c>
      <c r="N51" s="5" t="s">
        <v>319</v>
      </c>
    </row>
    <row r="52" customFormat="false" ht="15" hidden="false" customHeight="false" outlineLevel="0" collapsed="false">
      <c r="A52" s="5" t="s">
        <v>320</v>
      </c>
      <c r="B52" s="5" t="s">
        <v>240</v>
      </c>
      <c r="C52" s="5" t="s">
        <v>310</v>
      </c>
      <c r="D52" s="5" t="s">
        <v>321</v>
      </c>
      <c r="E52" s="5" t="s">
        <v>73</v>
      </c>
      <c r="F52" s="5" t="s">
        <v>322</v>
      </c>
      <c r="G52" s="5" t="s">
        <v>243</v>
      </c>
      <c r="H52" s="5" t="s">
        <v>323</v>
      </c>
      <c r="I52" s="5" t="s">
        <v>324</v>
      </c>
      <c r="J52" s="5" t="s">
        <v>14</v>
      </c>
      <c r="K52" s="5"/>
      <c r="L52" s="5" t="s">
        <v>47</v>
      </c>
      <c r="M52" s="5" t="s">
        <v>224</v>
      </c>
      <c r="N52" s="5"/>
    </row>
    <row r="53" customFormat="false" ht="23.85" hidden="false" customHeight="false" outlineLevel="0" collapsed="false">
      <c r="A53" s="5" t="s">
        <v>325</v>
      </c>
      <c r="B53" s="5" t="s">
        <v>240</v>
      </c>
      <c r="C53" s="5" t="s">
        <v>310</v>
      </c>
      <c r="D53" s="5" t="s">
        <v>326</v>
      </c>
      <c r="E53" s="5" t="s">
        <v>73</v>
      </c>
      <c r="F53" s="5" t="s">
        <v>327</v>
      </c>
      <c r="G53" s="5" t="s">
        <v>243</v>
      </c>
      <c r="H53" s="5" t="s">
        <v>265</v>
      </c>
      <c r="I53" s="5" t="s">
        <v>328</v>
      </c>
      <c r="J53" s="5" t="s">
        <v>14</v>
      </c>
      <c r="K53" s="5"/>
      <c r="L53" s="5" t="s">
        <v>47</v>
      </c>
      <c r="M53" s="5" t="s">
        <v>224</v>
      </c>
      <c r="N53" s="5" t="s">
        <v>329</v>
      </c>
    </row>
    <row r="54" customFormat="false" ht="15" hidden="false" customHeight="false" outlineLevel="0" collapsed="false">
      <c r="A54" s="5" t="s">
        <v>330</v>
      </c>
      <c r="B54" s="5" t="s">
        <v>240</v>
      </c>
      <c r="C54" s="5" t="s">
        <v>310</v>
      </c>
      <c r="D54" s="5" t="s">
        <v>331</v>
      </c>
      <c r="E54" s="5" t="s">
        <v>34</v>
      </c>
      <c r="F54" s="5" t="s">
        <v>332</v>
      </c>
      <c r="G54" s="5" t="s">
        <v>243</v>
      </c>
      <c r="H54" s="5" t="s">
        <v>333</v>
      </c>
      <c r="I54" s="5" t="s">
        <v>334</v>
      </c>
      <c r="J54" s="5" t="s">
        <v>16</v>
      </c>
      <c r="K54" s="5"/>
      <c r="L54" s="5" t="s">
        <v>47</v>
      </c>
      <c r="M54" s="5" t="s">
        <v>129</v>
      </c>
      <c r="N54" s="5"/>
    </row>
    <row r="55" customFormat="false" ht="23.85" hidden="false" customHeight="false" outlineLevel="0" collapsed="false">
      <c r="A55" s="5" t="s">
        <v>335</v>
      </c>
      <c r="B55" s="5" t="s">
        <v>336</v>
      </c>
      <c r="C55" s="5"/>
      <c r="D55" s="5" t="s">
        <v>241</v>
      </c>
      <c r="E55" s="5" t="s">
        <v>34</v>
      </c>
      <c r="F55" s="5" t="s">
        <v>337</v>
      </c>
      <c r="G55" s="5" t="s">
        <v>10</v>
      </c>
      <c r="H55" s="5"/>
      <c r="I55" s="5" t="s">
        <v>338</v>
      </c>
      <c r="J55" s="5" t="s">
        <v>14</v>
      </c>
      <c r="K55" s="5"/>
      <c r="L55" s="5" t="s">
        <v>47</v>
      </c>
      <c r="M55" s="5" t="s">
        <v>339</v>
      </c>
      <c r="N55" s="5" t="s">
        <v>340</v>
      </c>
    </row>
    <row r="56" customFormat="false" ht="23.85" hidden="false" customHeight="false" outlineLevel="0" collapsed="false">
      <c r="A56" s="5" t="s">
        <v>341</v>
      </c>
      <c r="B56" s="5" t="s">
        <v>336</v>
      </c>
      <c r="C56" s="5"/>
      <c r="D56" s="5" t="s">
        <v>342</v>
      </c>
      <c r="E56" s="5" t="s">
        <v>52</v>
      </c>
      <c r="F56" s="5" t="s">
        <v>343</v>
      </c>
      <c r="G56" s="5" t="s">
        <v>10</v>
      </c>
      <c r="H56" s="5"/>
      <c r="I56" s="5" t="s">
        <v>344</v>
      </c>
      <c r="J56" s="5" t="s">
        <v>14</v>
      </c>
      <c r="K56" s="5"/>
      <c r="L56" s="5" t="s">
        <v>47</v>
      </c>
      <c r="M56" s="5" t="s">
        <v>224</v>
      </c>
      <c r="N56" s="5" t="s">
        <v>345</v>
      </c>
    </row>
    <row r="57" customFormat="false" ht="35.05" hidden="false" customHeight="false" outlineLevel="0" collapsed="false">
      <c r="A57" s="5" t="s">
        <v>346</v>
      </c>
      <c r="B57" s="5" t="s">
        <v>336</v>
      </c>
      <c r="C57" s="5" t="s">
        <v>341</v>
      </c>
      <c r="D57" s="5" t="s">
        <v>347</v>
      </c>
      <c r="E57" s="5" t="s">
        <v>59</v>
      </c>
      <c r="F57" s="5" t="s">
        <v>348</v>
      </c>
      <c r="G57" s="5" t="s">
        <v>10</v>
      </c>
      <c r="H57" s="5"/>
      <c r="I57" s="5" t="s">
        <v>344</v>
      </c>
      <c r="J57" s="5" t="s">
        <v>14</v>
      </c>
      <c r="K57" s="5"/>
      <c r="L57" s="5" t="s">
        <v>47</v>
      </c>
      <c r="M57" s="5" t="s">
        <v>224</v>
      </c>
      <c r="N57" s="5" t="s">
        <v>349</v>
      </c>
    </row>
    <row r="58" customFormat="false" ht="15" hidden="false" customHeight="false" outlineLevel="0" collapsed="false">
      <c r="A58" s="5" t="s">
        <v>350</v>
      </c>
      <c r="B58" s="5" t="s">
        <v>336</v>
      </c>
      <c r="C58" s="5"/>
      <c r="D58" s="5" t="s">
        <v>284</v>
      </c>
      <c r="E58" s="5" t="s">
        <v>52</v>
      </c>
      <c r="F58" s="5" t="s">
        <v>351</v>
      </c>
      <c r="G58" s="5" t="s">
        <v>10</v>
      </c>
      <c r="H58" s="5"/>
      <c r="I58" s="5" t="s">
        <v>352</v>
      </c>
      <c r="J58" s="5" t="s">
        <v>15</v>
      </c>
      <c r="K58" s="5"/>
      <c r="L58" s="5" t="s">
        <v>47</v>
      </c>
      <c r="M58" s="5" t="s">
        <v>287</v>
      </c>
      <c r="N58" s="5" t="s">
        <v>353</v>
      </c>
    </row>
    <row r="59" customFormat="false" ht="15" hidden="false" customHeight="false" outlineLevel="0" collapsed="false">
      <c r="A59" s="5" t="s">
        <v>354</v>
      </c>
      <c r="B59" s="5" t="s">
        <v>336</v>
      </c>
      <c r="C59" s="5"/>
      <c r="D59" s="5" t="s">
        <v>296</v>
      </c>
      <c r="E59" s="5" t="s">
        <v>66</v>
      </c>
      <c r="F59" s="5" t="s">
        <v>355</v>
      </c>
      <c r="G59" s="5" t="s">
        <v>10</v>
      </c>
      <c r="H59" s="5"/>
      <c r="I59" s="5" t="s">
        <v>356</v>
      </c>
      <c r="J59" s="5" t="s">
        <v>14</v>
      </c>
      <c r="K59" s="5"/>
      <c r="L59" s="5" t="s">
        <v>47</v>
      </c>
      <c r="M59" s="5" t="s">
        <v>78</v>
      </c>
      <c r="N59" s="5"/>
    </row>
    <row r="60" customFormat="false" ht="23.85" hidden="false" customHeight="false" outlineLevel="0" collapsed="false">
      <c r="A60" s="5" t="s">
        <v>357</v>
      </c>
      <c r="B60" s="5" t="s">
        <v>336</v>
      </c>
      <c r="C60" s="5" t="s">
        <v>354</v>
      </c>
      <c r="D60" s="5" t="s">
        <v>358</v>
      </c>
      <c r="E60" s="5" t="s">
        <v>52</v>
      </c>
      <c r="F60" s="5" t="s">
        <v>359</v>
      </c>
      <c r="G60" s="5" t="s">
        <v>10</v>
      </c>
      <c r="H60" s="5"/>
      <c r="I60" s="5" t="s">
        <v>360</v>
      </c>
      <c r="J60" s="5" t="s">
        <v>14</v>
      </c>
      <c r="K60" s="5"/>
      <c r="L60" s="5" t="s">
        <v>47</v>
      </c>
      <c r="M60" s="5" t="s">
        <v>78</v>
      </c>
      <c r="N60" s="5" t="s">
        <v>361</v>
      </c>
    </row>
    <row r="61" customFormat="false" ht="15" hidden="false" customHeight="false" outlineLevel="0" collapsed="false">
      <c r="A61" s="5" t="s">
        <v>362</v>
      </c>
      <c r="B61" s="5" t="s">
        <v>336</v>
      </c>
      <c r="C61" s="5" t="s">
        <v>354</v>
      </c>
      <c r="D61" s="5" t="s">
        <v>363</v>
      </c>
      <c r="E61" s="5" t="s">
        <v>52</v>
      </c>
      <c r="F61" s="5" t="s">
        <v>364</v>
      </c>
      <c r="G61" s="5" t="s">
        <v>10</v>
      </c>
      <c r="H61" s="5"/>
      <c r="I61" s="5" t="s">
        <v>365</v>
      </c>
      <c r="J61" s="5" t="s">
        <v>14</v>
      </c>
      <c r="K61" s="5"/>
      <c r="L61" s="5" t="s">
        <v>47</v>
      </c>
      <c r="M61" s="5" t="s">
        <v>155</v>
      </c>
      <c r="N61" s="5" t="s">
        <v>366</v>
      </c>
    </row>
    <row r="62" customFormat="false" ht="15" hidden="false" customHeight="false" outlineLevel="0" collapsed="false">
      <c r="A62" s="5" t="s">
        <v>367</v>
      </c>
      <c r="B62" s="5" t="s">
        <v>336</v>
      </c>
      <c r="C62" s="5" t="s">
        <v>354</v>
      </c>
      <c r="D62" s="5" t="s">
        <v>301</v>
      </c>
      <c r="E62" s="5" t="s">
        <v>52</v>
      </c>
      <c r="F62" s="5" t="s">
        <v>368</v>
      </c>
      <c r="G62" s="5" t="s">
        <v>10</v>
      </c>
      <c r="H62" s="5"/>
      <c r="I62" s="5" t="s">
        <v>369</v>
      </c>
      <c r="J62" s="5" t="s">
        <v>14</v>
      </c>
      <c r="K62" s="5"/>
      <c r="L62" s="5" t="s">
        <v>47</v>
      </c>
      <c r="M62" s="5" t="s">
        <v>129</v>
      </c>
      <c r="N62" s="5" t="s">
        <v>370</v>
      </c>
    </row>
    <row r="63" customFormat="false" ht="15" hidden="false" customHeight="false" outlineLevel="0" collapsed="false">
      <c r="A63" s="5" t="s">
        <v>371</v>
      </c>
      <c r="B63" s="5" t="s">
        <v>336</v>
      </c>
      <c r="C63" s="5"/>
      <c r="D63" s="5" t="s">
        <v>372</v>
      </c>
      <c r="E63" s="5" t="s">
        <v>52</v>
      </c>
      <c r="F63" s="5" t="s">
        <v>373</v>
      </c>
      <c r="G63" s="5" t="s">
        <v>10</v>
      </c>
      <c r="H63" s="5"/>
      <c r="I63" s="5" t="s">
        <v>374</v>
      </c>
      <c r="J63" s="5" t="s">
        <v>14</v>
      </c>
      <c r="K63" s="5"/>
      <c r="L63" s="5" t="s">
        <v>47</v>
      </c>
      <c r="M63" s="5" t="s">
        <v>174</v>
      </c>
      <c r="N63" s="5" t="s">
        <v>375</v>
      </c>
    </row>
    <row r="64" customFormat="false" ht="35.05" hidden="false" customHeight="false" outlineLevel="0" collapsed="false">
      <c r="A64" s="5" t="s">
        <v>376</v>
      </c>
      <c r="B64" s="5" t="s">
        <v>336</v>
      </c>
      <c r="C64" s="5" t="s">
        <v>371</v>
      </c>
      <c r="D64" s="5" t="s">
        <v>377</v>
      </c>
      <c r="E64" s="5" t="s">
        <v>59</v>
      </c>
      <c r="F64" s="5" t="s">
        <v>378</v>
      </c>
      <c r="G64" s="5" t="s">
        <v>10</v>
      </c>
      <c r="H64" s="5"/>
      <c r="I64" s="5" t="s">
        <v>374</v>
      </c>
      <c r="J64" s="5" t="s">
        <v>14</v>
      </c>
      <c r="K64" s="5"/>
      <c r="L64" s="5" t="s">
        <v>47</v>
      </c>
      <c r="M64" s="5" t="s">
        <v>174</v>
      </c>
      <c r="N64" s="5" t="s">
        <v>379</v>
      </c>
    </row>
    <row r="65" customFormat="false" ht="15" hidden="false" customHeight="false" outlineLevel="0" collapsed="false">
      <c r="A65" s="5" t="s">
        <v>380</v>
      </c>
      <c r="B65" s="5" t="s">
        <v>336</v>
      </c>
      <c r="C65" s="5"/>
      <c r="D65" s="5" t="s">
        <v>381</v>
      </c>
      <c r="E65" s="5" t="s">
        <v>66</v>
      </c>
      <c r="F65" s="5" t="s">
        <v>382</v>
      </c>
      <c r="G65" s="5" t="s">
        <v>10</v>
      </c>
      <c r="H65" s="5"/>
      <c r="I65" s="5" t="s">
        <v>383</v>
      </c>
      <c r="J65" s="5" t="s">
        <v>14</v>
      </c>
      <c r="K65" s="5"/>
      <c r="L65" s="5" t="s">
        <v>47</v>
      </c>
      <c r="M65" s="5" t="s">
        <v>129</v>
      </c>
      <c r="N65" s="5"/>
    </row>
    <row r="66" customFormat="false" ht="15" hidden="false" customHeight="false" outlineLevel="0" collapsed="false">
      <c r="A66" s="5" t="s">
        <v>384</v>
      </c>
      <c r="B66" s="5" t="s">
        <v>336</v>
      </c>
      <c r="C66" s="5" t="s">
        <v>380</v>
      </c>
      <c r="D66" s="5" t="s">
        <v>385</v>
      </c>
      <c r="E66" s="5" t="s">
        <v>73</v>
      </c>
      <c r="F66" s="5" t="s">
        <v>386</v>
      </c>
      <c r="G66" s="5" t="s">
        <v>10</v>
      </c>
      <c r="H66" s="5"/>
      <c r="I66" s="5" t="s">
        <v>387</v>
      </c>
      <c r="J66" s="5" t="s">
        <v>14</v>
      </c>
      <c r="K66" s="5"/>
      <c r="L66" s="5" t="s">
        <v>47</v>
      </c>
      <c r="M66" s="5" t="s">
        <v>129</v>
      </c>
      <c r="N66" s="5" t="s">
        <v>388</v>
      </c>
    </row>
    <row r="67" customFormat="false" ht="15" hidden="false" customHeight="false" outlineLevel="0" collapsed="false">
      <c r="A67" s="5" t="s">
        <v>389</v>
      </c>
      <c r="B67" s="5" t="s">
        <v>336</v>
      </c>
      <c r="C67" s="5" t="s">
        <v>380</v>
      </c>
      <c r="D67" s="5" t="s">
        <v>390</v>
      </c>
      <c r="E67" s="5" t="s">
        <v>73</v>
      </c>
      <c r="F67" s="5" t="s">
        <v>391</v>
      </c>
      <c r="G67" s="5" t="s">
        <v>10</v>
      </c>
      <c r="H67" s="5"/>
      <c r="I67" s="5" t="s">
        <v>392</v>
      </c>
      <c r="J67" s="5" t="s">
        <v>14</v>
      </c>
      <c r="K67" s="5"/>
      <c r="L67" s="5" t="s">
        <v>47</v>
      </c>
      <c r="M67" s="5" t="s">
        <v>129</v>
      </c>
      <c r="N67" s="5"/>
    </row>
    <row r="68" customFormat="false" ht="15" hidden="false" customHeight="false" outlineLevel="0" collapsed="false">
      <c r="A68" s="5" t="s">
        <v>393</v>
      </c>
      <c r="B68" s="5" t="s">
        <v>336</v>
      </c>
      <c r="C68" s="5" t="s">
        <v>380</v>
      </c>
      <c r="D68" s="5" t="s">
        <v>394</v>
      </c>
      <c r="E68" s="5" t="s">
        <v>52</v>
      </c>
      <c r="F68" s="5" t="s">
        <v>395</v>
      </c>
      <c r="G68" s="5" t="s">
        <v>10</v>
      </c>
      <c r="H68" s="5"/>
      <c r="I68" s="5" t="s">
        <v>396</v>
      </c>
      <c r="J68" s="5" t="s">
        <v>16</v>
      </c>
      <c r="K68" s="5"/>
      <c r="L68" s="5" t="s">
        <v>47</v>
      </c>
      <c r="M68" s="5" t="s">
        <v>129</v>
      </c>
      <c r="N68" s="5"/>
    </row>
    <row r="69" customFormat="false" ht="23.85" hidden="false" customHeight="false" outlineLevel="0" collapsed="false">
      <c r="A69" s="5" t="s">
        <v>397</v>
      </c>
      <c r="B69" s="5" t="s">
        <v>336</v>
      </c>
      <c r="C69" s="5" t="s">
        <v>380</v>
      </c>
      <c r="D69" s="5" t="s">
        <v>398</v>
      </c>
      <c r="E69" s="5" t="s">
        <v>52</v>
      </c>
      <c r="F69" s="5" t="s">
        <v>399</v>
      </c>
      <c r="G69" s="5" t="s">
        <v>10</v>
      </c>
      <c r="H69" s="5"/>
      <c r="I69" s="5" t="s">
        <v>400</v>
      </c>
      <c r="J69" s="5" t="s">
        <v>14</v>
      </c>
      <c r="K69" s="5"/>
      <c r="L69" s="5" t="s">
        <v>47</v>
      </c>
      <c r="M69" s="5" t="s">
        <v>287</v>
      </c>
      <c r="N69" s="5" t="s">
        <v>401</v>
      </c>
    </row>
    <row r="70" customFormat="false" ht="15" hidden="false" customHeight="false" outlineLevel="0" collapsed="false">
      <c r="A70" s="5" t="s">
        <v>402</v>
      </c>
      <c r="B70" s="5" t="s">
        <v>403</v>
      </c>
      <c r="C70" s="5"/>
      <c r="D70" s="5" t="s">
        <v>124</v>
      </c>
      <c r="E70" s="5" t="s">
        <v>404</v>
      </c>
      <c r="F70" s="5" t="s">
        <v>405</v>
      </c>
      <c r="G70" s="5" t="s">
        <v>102</v>
      </c>
      <c r="H70" s="5"/>
      <c r="I70" s="5" t="s">
        <v>406</v>
      </c>
      <c r="J70" s="5" t="s">
        <v>14</v>
      </c>
      <c r="K70" s="5"/>
      <c r="L70" s="5" t="s">
        <v>407</v>
      </c>
      <c r="M70" s="5" t="s">
        <v>204</v>
      </c>
      <c r="N70" s="5" t="s">
        <v>408</v>
      </c>
    </row>
    <row r="71" customFormat="false" ht="15" hidden="false" customHeight="false" outlineLevel="0" collapsed="false">
      <c r="A71" s="5" t="s">
        <v>409</v>
      </c>
      <c r="B71" s="5" t="s">
        <v>403</v>
      </c>
      <c r="C71" s="5"/>
      <c r="D71" s="5" t="s">
        <v>410</v>
      </c>
      <c r="E71" s="5" t="s">
        <v>404</v>
      </c>
      <c r="F71" s="5" t="s">
        <v>405</v>
      </c>
      <c r="G71" s="5" t="s">
        <v>102</v>
      </c>
      <c r="H71" s="5"/>
      <c r="I71" s="5" t="s">
        <v>203</v>
      </c>
      <c r="J71" s="5" t="s">
        <v>14</v>
      </c>
      <c r="K71" s="5"/>
      <c r="L71" s="5" t="s">
        <v>407</v>
      </c>
      <c r="M71" s="5" t="s">
        <v>204</v>
      </c>
      <c r="N71" s="5"/>
    </row>
    <row r="72" customFormat="false" ht="23.85" hidden="false" customHeight="false" outlineLevel="0" collapsed="false">
      <c r="A72" s="5" t="s">
        <v>411</v>
      </c>
      <c r="B72" s="5" t="s">
        <v>403</v>
      </c>
      <c r="C72" s="5"/>
      <c r="D72" s="5" t="s">
        <v>412</v>
      </c>
      <c r="E72" s="5" t="s">
        <v>404</v>
      </c>
      <c r="F72" s="5" t="s">
        <v>405</v>
      </c>
      <c r="G72" s="5" t="s">
        <v>102</v>
      </c>
      <c r="H72" s="5" t="s">
        <v>413</v>
      </c>
      <c r="I72" s="5" t="s">
        <v>414</v>
      </c>
      <c r="J72" s="5" t="s">
        <v>14</v>
      </c>
      <c r="K72" s="5"/>
      <c r="L72" s="5" t="s">
        <v>407</v>
      </c>
      <c r="M72" s="5" t="s">
        <v>204</v>
      </c>
      <c r="N72" s="5"/>
    </row>
    <row r="73" customFormat="false" ht="15" hidden="false" customHeight="false" outlineLevel="0" collapsed="false">
      <c r="A73" s="5" t="s">
        <v>415</v>
      </c>
      <c r="B73" s="5" t="s">
        <v>403</v>
      </c>
      <c r="C73" s="5"/>
      <c r="D73" s="5" t="s">
        <v>416</v>
      </c>
      <c r="E73" s="5" t="s">
        <v>404</v>
      </c>
      <c r="F73" s="5" t="s">
        <v>405</v>
      </c>
      <c r="G73" s="5" t="s">
        <v>102</v>
      </c>
      <c r="H73" s="5"/>
      <c r="I73" s="5" t="s">
        <v>417</v>
      </c>
      <c r="J73" s="5" t="s">
        <v>14</v>
      </c>
      <c r="K73" s="5"/>
      <c r="L73" s="5" t="s">
        <v>407</v>
      </c>
      <c r="M73" s="5" t="s">
        <v>204</v>
      </c>
      <c r="N73" s="5" t="s">
        <v>418</v>
      </c>
    </row>
    <row r="74" customFormat="false" ht="15" hidden="false" customHeight="false" outlineLevel="0" collapsed="false">
      <c r="A74" s="5" t="s">
        <v>419</v>
      </c>
      <c r="B74" s="5" t="s">
        <v>403</v>
      </c>
      <c r="C74" s="5"/>
      <c r="D74" s="5" t="s">
        <v>420</v>
      </c>
      <c r="E74" s="5" t="s">
        <v>404</v>
      </c>
      <c r="F74" s="5" t="s">
        <v>405</v>
      </c>
      <c r="G74" s="5" t="s">
        <v>102</v>
      </c>
      <c r="H74" s="5"/>
      <c r="I74" s="5" t="s">
        <v>203</v>
      </c>
      <c r="J74" s="5" t="s">
        <v>14</v>
      </c>
      <c r="K74" s="5"/>
      <c r="L74" s="5" t="s">
        <v>407</v>
      </c>
      <c r="M74" s="5" t="s">
        <v>204</v>
      </c>
      <c r="N74" s="5"/>
    </row>
  </sheetData>
  <autoFilter ref="A1:N74"/>
  <dataValidations count="2">
    <dataValidation allowBlank="false" errorStyle="stop" operator="between" showDropDown="false" showErrorMessage="false" showInputMessage="false" sqref="J2:J124" type="list">
      <formula1>"Làm trọn,Đơn giản,Hoãn,Cần xác nhận"</formula1>
      <formula2>0</formula2>
    </dataValidation>
    <dataValidation allowBlank="false" errorStyle="stop" operator="between" showDropDown="false" showErrorMessage="false" showInputMessage="false" sqref="L2:L124" type="list">
      <formula1>"Giữ,Sửa,Mới,Đã bỏ,Ngoài hệ thống,Đã có (app)"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26.85" hidden="false" customHeight="false" outlineLevel="0" collapsed="false">
      <c r="A1" s="4" t="s">
        <v>6</v>
      </c>
      <c r="B1" s="4" t="s">
        <v>421</v>
      </c>
      <c r="C1" s="4" t="s">
        <v>422</v>
      </c>
      <c r="D1" s="4" t="s">
        <v>423</v>
      </c>
      <c r="E1" s="4" t="s">
        <v>424</v>
      </c>
      <c r="F1" s="4" t="s">
        <v>24</v>
      </c>
      <c r="G1" s="4" t="s">
        <v>30</v>
      </c>
    </row>
    <row r="2" customFormat="false" ht="35.05" hidden="false" customHeight="false" outlineLevel="0" collapsed="false">
      <c r="A2" s="5" t="s">
        <v>425</v>
      </c>
      <c r="B2" s="5" t="s">
        <v>426</v>
      </c>
      <c r="C2" s="5" t="n">
        <v>1</v>
      </c>
      <c r="D2" s="5" t="s">
        <v>427</v>
      </c>
      <c r="E2" s="5" t="s">
        <v>50</v>
      </c>
      <c r="F2" s="5" t="s">
        <v>428</v>
      </c>
      <c r="G2" s="5" t="s">
        <v>429</v>
      </c>
    </row>
    <row r="3" customFormat="false" ht="15" hidden="false" customHeight="false" outlineLevel="0" collapsed="false">
      <c r="A3" s="5" t="s">
        <v>425</v>
      </c>
      <c r="B3" s="5" t="s">
        <v>426</v>
      </c>
      <c r="C3" s="5" t="n">
        <v>2</v>
      </c>
      <c r="D3" s="5" t="s">
        <v>51</v>
      </c>
      <c r="E3" s="5" t="s">
        <v>50</v>
      </c>
      <c r="F3" s="5" t="s">
        <v>428</v>
      </c>
      <c r="G3" s="5" t="s">
        <v>430</v>
      </c>
    </row>
    <row r="4" customFormat="false" ht="23.85" hidden="false" customHeight="false" outlineLevel="0" collapsed="false">
      <c r="A4" s="5" t="s">
        <v>425</v>
      </c>
      <c r="B4" s="5" t="s">
        <v>426</v>
      </c>
      <c r="C4" s="5" t="n">
        <v>3</v>
      </c>
      <c r="D4" s="5" t="s">
        <v>431</v>
      </c>
      <c r="E4" s="5" t="s">
        <v>64</v>
      </c>
      <c r="F4" s="5" t="s">
        <v>428</v>
      </c>
      <c r="G4" s="5" t="s">
        <v>432</v>
      </c>
    </row>
    <row r="5" customFormat="false" ht="15" hidden="false" customHeight="false" outlineLevel="0" collapsed="false">
      <c r="A5" s="5" t="s">
        <v>425</v>
      </c>
      <c r="B5" s="5" t="s">
        <v>426</v>
      </c>
      <c r="C5" s="5" t="n">
        <v>4</v>
      </c>
      <c r="D5" s="5" t="s">
        <v>433</v>
      </c>
      <c r="E5" s="5" t="s">
        <v>41</v>
      </c>
      <c r="F5" s="5" t="s">
        <v>428</v>
      </c>
      <c r="G5" s="5"/>
    </row>
    <row r="6" customFormat="false" ht="23.85" hidden="false" customHeight="false" outlineLevel="0" collapsed="false">
      <c r="A6" s="5" t="s">
        <v>425</v>
      </c>
      <c r="B6" s="5" t="s">
        <v>426</v>
      </c>
      <c r="C6" s="5" t="n">
        <v>5</v>
      </c>
      <c r="D6" s="5" t="s">
        <v>99</v>
      </c>
      <c r="E6" s="5" t="s">
        <v>98</v>
      </c>
      <c r="F6" s="5" t="s">
        <v>428</v>
      </c>
      <c r="G6" s="5" t="s">
        <v>434</v>
      </c>
    </row>
    <row r="7" customFormat="false" ht="23.85" hidden="false" customHeight="false" outlineLevel="0" collapsed="false">
      <c r="A7" s="5" t="s">
        <v>425</v>
      </c>
      <c r="B7" s="5" t="s">
        <v>426</v>
      </c>
      <c r="C7" s="5" t="n">
        <v>6</v>
      </c>
      <c r="D7" s="5" t="s">
        <v>212</v>
      </c>
      <c r="E7" s="5" t="s">
        <v>211</v>
      </c>
      <c r="F7" s="5" t="s">
        <v>435</v>
      </c>
      <c r="G7" s="5" t="s">
        <v>436</v>
      </c>
    </row>
    <row r="8" customFormat="false" ht="15" hidden="false" customHeight="false" outlineLevel="0" collapsed="false">
      <c r="A8" s="5" t="s">
        <v>425</v>
      </c>
      <c r="B8" s="5" t="s">
        <v>426</v>
      </c>
      <c r="C8" s="5" t="n">
        <v>7</v>
      </c>
      <c r="D8" s="5" t="s">
        <v>437</v>
      </c>
      <c r="E8" s="5" t="s">
        <v>438</v>
      </c>
      <c r="F8" s="5"/>
      <c r="G8" s="5" t="s">
        <v>439</v>
      </c>
    </row>
    <row r="9" customFormat="false" ht="15" hidden="false" customHeight="false" outlineLevel="0" collapsed="false">
      <c r="A9" s="5" t="s">
        <v>440</v>
      </c>
      <c r="B9" s="5" t="s">
        <v>441</v>
      </c>
      <c r="C9" s="5" t="n">
        <v>1</v>
      </c>
      <c r="D9" s="5" t="s">
        <v>241</v>
      </c>
      <c r="E9" s="5" t="s">
        <v>146</v>
      </c>
      <c r="F9" s="5" t="s">
        <v>435</v>
      </c>
      <c r="G9" s="5"/>
    </row>
    <row r="10" customFormat="false" ht="15" hidden="false" customHeight="false" outlineLevel="0" collapsed="false">
      <c r="A10" s="5" t="s">
        <v>440</v>
      </c>
      <c r="B10" s="5" t="s">
        <v>441</v>
      </c>
      <c r="C10" s="5" t="n">
        <v>2</v>
      </c>
      <c r="D10" s="5" t="s">
        <v>152</v>
      </c>
      <c r="E10" s="5" t="s">
        <v>151</v>
      </c>
      <c r="F10" s="5" t="s">
        <v>435</v>
      </c>
      <c r="G10" s="5"/>
    </row>
    <row r="11" customFormat="false" ht="15" hidden="false" customHeight="false" outlineLevel="0" collapsed="false">
      <c r="A11" s="5" t="s">
        <v>440</v>
      </c>
      <c r="B11" s="5" t="s">
        <v>441</v>
      </c>
      <c r="C11" s="5" t="n">
        <v>3</v>
      </c>
      <c r="D11" s="5" t="s">
        <v>177</v>
      </c>
      <c r="E11" s="5" t="s">
        <v>176</v>
      </c>
      <c r="F11" s="5" t="s">
        <v>435</v>
      </c>
      <c r="G11" s="5"/>
    </row>
    <row r="12" customFormat="false" ht="15" hidden="false" customHeight="false" outlineLevel="0" collapsed="false">
      <c r="A12" s="5" t="s">
        <v>440</v>
      </c>
      <c r="B12" s="5" t="s">
        <v>441</v>
      </c>
      <c r="C12" s="5" t="n">
        <v>4</v>
      </c>
      <c r="D12" s="5" t="s">
        <v>191</v>
      </c>
      <c r="E12" s="5" t="s">
        <v>190</v>
      </c>
      <c r="F12" s="5" t="s">
        <v>435</v>
      </c>
      <c r="G12" s="5"/>
    </row>
    <row r="13" customFormat="false" ht="15" hidden="false" customHeight="false" outlineLevel="0" collapsed="false">
      <c r="A13" s="5" t="s">
        <v>440</v>
      </c>
      <c r="B13" s="5" t="s">
        <v>441</v>
      </c>
      <c r="C13" s="5" t="n">
        <v>5</v>
      </c>
      <c r="D13" s="5" t="s">
        <v>200</v>
      </c>
      <c r="E13" s="5" t="s">
        <v>199</v>
      </c>
      <c r="F13" s="5" t="s">
        <v>435</v>
      </c>
      <c r="G13" s="5" t="s">
        <v>442</v>
      </c>
    </row>
    <row r="14" customFormat="false" ht="15" hidden="false" customHeight="false" outlineLevel="0" collapsed="false">
      <c r="A14" s="5" t="s">
        <v>440</v>
      </c>
      <c r="B14" s="5" t="s">
        <v>441</v>
      </c>
      <c r="C14" s="5" t="n">
        <v>6</v>
      </c>
      <c r="D14" s="5" t="s">
        <v>207</v>
      </c>
      <c r="E14" s="5" t="s">
        <v>206</v>
      </c>
      <c r="F14" s="5" t="s">
        <v>435</v>
      </c>
      <c r="G14" s="5"/>
    </row>
    <row r="15" customFormat="false" ht="15" hidden="false" customHeight="false" outlineLevel="0" collapsed="false">
      <c r="A15" s="5" t="s">
        <v>440</v>
      </c>
      <c r="B15" s="5" t="s">
        <v>441</v>
      </c>
      <c r="C15" s="5" t="n">
        <v>7</v>
      </c>
      <c r="D15" s="5" t="s">
        <v>220</v>
      </c>
      <c r="E15" s="5" t="s">
        <v>219</v>
      </c>
      <c r="F15" s="5" t="s">
        <v>443</v>
      </c>
      <c r="G15" s="5"/>
    </row>
    <row r="16" customFormat="false" ht="23.85" hidden="false" customHeight="false" outlineLevel="0" collapsed="false">
      <c r="A16" s="5" t="s">
        <v>440</v>
      </c>
      <c r="B16" s="5" t="s">
        <v>441</v>
      </c>
      <c r="C16" s="5" t="n">
        <v>7</v>
      </c>
      <c r="D16" s="5" t="s">
        <v>9</v>
      </c>
      <c r="E16" s="5" t="s">
        <v>239</v>
      </c>
      <c r="F16" s="5" t="s">
        <v>444</v>
      </c>
      <c r="G16" s="5"/>
    </row>
    <row r="17" customFormat="false" ht="15" hidden="false" customHeight="false" outlineLevel="0" collapsed="false">
      <c r="A17" s="5" t="s">
        <v>440</v>
      </c>
      <c r="B17" s="5" t="s">
        <v>441</v>
      </c>
      <c r="C17" s="5" t="n">
        <v>8</v>
      </c>
      <c r="D17" s="5" t="s">
        <v>445</v>
      </c>
      <c r="E17" s="5" t="s">
        <v>123</v>
      </c>
      <c r="F17" s="5" t="s">
        <v>435</v>
      </c>
      <c r="G17" s="5"/>
    </row>
    <row r="18" customFormat="false" ht="15" hidden="false" customHeight="false" outlineLevel="0" collapsed="false">
      <c r="A18" s="5" t="s">
        <v>425</v>
      </c>
      <c r="B18" s="5" t="s">
        <v>446</v>
      </c>
      <c r="C18" s="5" t="n">
        <v>1</v>
      </c>
      <c r="D18" s="5" t="s">
        <v>220</v>
      </c>
      <c r="E18" s="5" t="s">
        <v>219</v>
      </c>
      <c r="F18" s="5" t="s">
        <v>428</v>
      </c>
      <c r="G18" s="5"/>
    </row>
    <row r="19" customFormat="false" ht="15" hidden="false" customHeight="false" outlineLevel="0" collapsed="false">
      <c r="A19" s="5" t="s">
        <v>425</v>
      </c>
      <c r="B19" s="5" t="s">
        <v>446</v>
      </c>
      <c r="C19" s="5" t="n">
        <v>2</v>
      </c>
      <c r="D19" s="5" t="s">
        <v>234</v>
      </c>
      <c r="E19" s="5" t="s">
        <v>233</v>
      </c>
      <c r="F19" s="5" t="s">
        <v>428</v>
      </c>
      <c r="G19" s="5" t="s">
        <v>17</v>
      </c>
    </row>
    <row r="20" customFormat="false" ht="15" hidden="false" customHeight="false" outlineLevel="0" collapsed="false">
      <c r="A20" s="5" t="s">
        <v>9</v>
      </c>
      <c r="B20" s="5" t="s">
        <v>426</v>
      </c>
      <c r="C20" s="5" t="n">
        <v>1</v>
      </c>
      <c r="D20" s="5" t="s">
        <v>241</v>
      </c>
      <c r="E20" s="5" t="s">
        <v>239</v>
      </c>
      <c r="F20" s="5" t="s">
        <v>243</v>
      </c>
      <c r="G20" s="5"/>
    </row>
    <row r="21" customFormat="false" ht="15" hidden="false" customHeight="false" outlineLevel="0" collapsed="false">
      <c r="A21" s="5" t="s">
        <v>9</v>
      </c>
      <c r="B21" s="5" t="s">
        <v>426</v>
      </c>
      <c r="C21" s="5" t="n">
        <v>2</v>
      </c>
      <c r="D21" s="5" t="s">
        <v>152</v>
      </c>
      <c r="E21" s="5" t="s">
        <v>253</v>
      </c>
      <c r="F21" s="5" t="s">
        <v>243</v>
      </c>
      <c r="G21" s="5" t="s">
        <v>447</v>
      </c>
    </row>
    <row r="22" customFormat="false" ht="15" hidden="false" customHeight="false" outlineLevel="0" collapsed="false">
      <c r="A22" s="5" t="s">
        <v>9</v>
      </c>
      <c r="B22" s="5" t="s">
        <v>426</v>
      </c>
      <c r="C22" s="5" t="n">
        <v>3</v>
      </c>
      <c r="D22" s="5" t="s">
        <v>269</v>
      </c>
      <c r="E22" s="5" t="s">
        <v>268</v>
      </c>
      <c r="F22" s="5" t="s">
        <v>265</v>
      </c>
      <c r="G22" s="5" t="s">
        <v>448</v>
      </c>
    </row>
    <row r="23" customFormat="false" ht="15" hidden="false" customHeight="false" outlineLevel="0" collapsed="false">
      <c r="A23" s="5" t="s">
        <v>9</v>
      </c>
      <c r="B23" s="5" t="s">
        <v>426</v>
      </c>
      <c r="C23" s="5" t="n">
        <v>4</v>
      </c>
      <c r="D23" s="5" t="s">
        <v>284</v>
      </c>
      <c r="E23" s="5" t="s">
        <v>283</v>
      </c>
      <c r="F23" s="5" t="s">
        <v>261</v>
      </c>
      <c r="G23" s="5" t="s">
        <v>449</v>
      </c>
    </row>
    <row r="24" customFormat="false" ht="15" hidden="false" customHeight="false" outlineLevel="0" collapsed="false">
      <c r="A24" s="5" t="s">
        <v>9</v>
      </c>
      <c r="B24" s="5" t="s">
        <v>426</v>
      </c>
      <c r="C24" s="5" t="n">
        <v>5</v>
      </c>
      <c r="D24" s="5" t="s">
        <v>296</v>
      </c>
      <c r="E24" s="5" t="s">
        <v>295</v>
      </c>
      <c r="F24" s="5" t="s">
        <v>243</v>
      </c>
      <c r="G24" s="5" t="s">
        <v>447</v>
      </c>
    </row>
    <row r="25" customFormat="false" ht="15" hidden="false" customHeight="false" outlineLevel="0" collapsed="false">
      <c r="A25" s="5" t="s">
        <v>9</v>
      </c>
      <c r="B25" s="5" t="s">
        <v>426</v>
      </c>
      <c r="C25" s="5" t="n">
        <v>6</v>
      </c>
      <c r="D25" s="5" t="s">
        <v>311</v>
      </c>
      <c r="E25" s="5" t="s">
        <v>310</v>
      </c>
      <c r="F25" s="5" t="s">
        <v>243</v>
      </c>
      <c r="G25" s="5"/>
    </row>
    <row r="26" customFormat="false" ht="15" hidden="false" customHeight="false" outlineLevel="0" collapsed="false">
      <c r="A26" s="5" t="s">
        <v>9</v>
      </c>
      <c r="B26" s="5" t="s">
        <v>426</v>
      </c>
      <c r="C26" s="5" t="n">
        <v>7</v>
      </c>
      <c r="D26" s="5" t="s">
        <v>212</v>
      </c>
      <c r="E26" s="5" t="s">
        <v>211</v>
      </c>
      <c r="F26" s="5" t="s">
        <v>243</v>
      </c>
      <c r="G26" s="5" t="s">
        <v>450</v>
      </c>
    </row>
    <row r="27" customFormat="false" ht="15" hidden="false" customHeight="false" outlineLevel="0" collapsed="false">
      <c r="A27" s="5" t="s">
        <v>9</v>
      </c>
      <c r="B27" s="5" t="s">
        <v>426</v>
      </c>
      <c r="C27" s="5" t="n">
        <v>8</v>
      </c>
      <c r="D27" s="5" t="s">
        <v>451</v>
      </c>
      <c r="E27" s="5" t="s">
        <v>31</v>
      </c>
      <c r="F27" s="5" t="s">
        <v>243</v>
      </c>
      <c r="G27" s="5"/>
    </row>
    <row r="28" customFormat="false" ht="57.45" hidden="false" customHeight="false" outlineLevel="0" collapsed="false">
      <c r="A28" s="5" t="s">
        <v>452</v>
      </c>
      <c r="B28" s="5" t="s">
        <v>453</v>
      </c>
      <c r="C28" s="5" t="n">
        <v>1</v>
      </c>
      <c r="D28" s="5" t="s">
        <v>454</v>
      </c>
      <c r="E28" s="5" t="s">
        <v>455</v>
      </c>
      <c r="F28" s="5" t="s">
        <v>126</v>
      </c>
      <c r="G28" s="5" t="s">
        <v>456</v>
      </c>
    </row>
    <row r="29" customFormat="false" ht="79.85" hidden="false" customHeight="false" outlineLevel="0" collapsed="false">
      <c r="A29" s="5" t="s">
        <v>452</v>
      </c>
      <c r="B29" s="5" t="s">
        <v>453</v>
      </c>
      <c r="C29" s="5" t="n">
        <v>2</v>
      </c>
      <c r="D29" s="5" t="s">
        <v>457</v>
      </c>
      <c r="E29" s="5" t="s">
        <v>458</v>
      </c>
      <c r="F29" s="5" t="s">
        <v>215</v>
      </c>
      <c r="G29" s="5" t="s">
        <v>459</v>
      </c>
    </row>
    <row r="30" customFormat="false" ht="23.85" hidden="false" customHeight="false" outlineLevel="0" collapsed="false">
      <c r="A30" s="5" t="s">
        <v>10</v>
      </c>
      <c r="B30" s="5" t="s">
        <v>460</v>
      </c>
      <c r="C30" s="5" t="n">
        <v>1</v>
      </c>
      <c r="D30" s="5" t="s">
        <v>461</v>
      </c>
      <c r="E30" s="5" t="s">
        <v>462</v>
      </c>
      <c r="F30" s="5" t="s">
        <v>10</v>
      </c>
      <c r="G30" s="5" t="s">
        <v>463</v>
      </c>
    </row>
    <row r="31" customFormat="false" ht="15" hidden="false" customHeight="false" outlineLevel="0" collapsed="false">
      <c r="A31" s="5" t="s">
        <v>10</v>
      </c>
      <c r="B31" s="5" t="s">
        <v>426</v>
      </c>
      <c r="C31" s="5" t="n">
        <v>1</v>
      </c>
      <c r="D31" s="5" t="s">
        <v>241</v>
      </c>
      <c r="E31" s="5" t="s">
        <v>335</v>
      </c>
      <c r="F31" s="5" t="s">
        <v>10</v>
      </c>
      <c r="G31" s="5"/>
    </row>
    <row r="32" customFormat="false" ht="15" hidden="false" customHeight="false" outlineLevel="0" collapsed="false">
      <c r="A32" s="5" t="s">
        <v>10</v>
      </c>
      <c r="B32" s="5" t="s">
        <v>426</v>
      </c>
      <c r="C32" s="5" t="n">
        <v>2</v>
      </c>
      <c r="D32" s="5" t="s">
        <v>342</v>
      </c>
      <c r="E32" s="5" t="s">
        <v>341</v>
      </c>
      <c r="F32" s="5" t="s">
        <v>10</v>
      </c>
      <c r="G32" s="5" t="s">
        <v>464</v>
      </c>
    </row>
    <row r="33" customFormat="false" ht="15" hidden="false" customHeight="false" outlineLevel="0" collapsed="false">
      <c r="A33" s="5" t="s">
        <v>10</v>
      </c>
      <c r="B33" s="5" t="s">
        <v>426</v>
      </c>
      <c r="C33" s="5" t="n">
        <v>3</v>
      </c>
      <c r="D33" s="5" t="s">
        <v>284</v>
      </c>
      <c r="E33" s="5" t="s">
        <v>350</v>
      </c>
      <c r="F33" s="5" t="s">
        <v>10</v>
      </c>
      <c r="G33" s="5"/>
    </row>
    <row r="34" customFormat="false" ht="15" hidden="false" customHeight="false" outlineLevel="0" collapsed="false">
      <c r="A34" s="5" t="s">
        <v>10</v>
      </c>
      <c r="B34" s="5" t="s">
        <v>426</v>
      </c>
      <c r="C34" s="5" t="n">
        <v>4</v>
      </c>
      <c r="D34" s="5" t="s">
        <v>296</v>
      </c>
      <c r="E34" s="5" t="s">
        <v>354</v>
      </c>
      <c r="F34" s="5" t="s">
        <v>10</v>
      </c>
      <c r="G34" s="5" t="s">
        <v>465</v>
      </c>
    </row>
    <row r="35" customFormat="false" ht="15" hidden="false" customHeight="false" outlineLevel="0" collapsed="false">
      <c r="A35" s="5" t="s">
        <v>10</v>
      </c>
      <c r="B35" s="5" t="s">
        <v>426</v>
      </c>
      <c r="C35" s="5" t="n">
        <v>5</v>
      </c>
      <c r="D35" s="5" t="s">
        <v>372</v>
      </c>
      <c r="E35" s="5" t="s">
        <v>371</v>
      </c>
      <c r="F35" s="5" t="s">
        <v>10</v>
      </c>
      <c r="G35" s="5" t="s">
        <v>466</v>
      </c>
    </row>
    <row r="36" customFormat="false" ht="15" hidden="false" customHeight="false" outlineLevel="0" collapsed="false">
      <c r="A36" s="5" t="s">
        <v>10</v>
      </c>
      <c r="B36" s="5" t="s">
        <v>426</v>
      </c>
      <c r="C36" s="5" t="n">
        <v>6</v>
      </c>
      <c r="D36" s="5" t="s">
        <v>381</v>
      </c>
      <c r="E36" s="5" t="s">
        <v>380</v>
      </c>
      <c r="F36" s="5" t="s">
        <v>10</v>
      </c>
      <c r="G36" s="5"/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4" t="s">
        <v>467</v>
      </c>
      <c r="B1" s="4" t="s">
        <v>468</v>
      </c>
      <c r="C1" s="4" t="s">
        <v>469</v>
      </c>
      <c r="D1" s="4" t="s">
        <v>470</v>
      </c>
    </row>
    <row r="2" customFormat="false" ht="15" hidden="false" customHeight="false" outlineLevel="0" collapsed="false">
      <c r="A2" s="5" t="s">
        <v>471</v>
      </c>
      <c r="B2" s="5" t="s">
        <v>472</v>
      </c>
      <c r="C2" s="5" t="s">
        <v>473</v>
      </c>
      <c r="D2" s="5" t="s">
        <v>474</v>
      </c>
    </row>
    <row r="3" customFormat="false" ht="15" hidden="false" customHeight="false" outlineLevel="0" collapsed="false">
      <c r="A3" s="5" t="s">
        <v>475</v>
      </c>
      <c r="B3" s="5" t="s">
        <v>207</v>
      </c>
      <c r="C3" s="5" t="s">
        <v>206</v>
      </c>
      <c r="D3" s="5" t="s">
        <v>476</v>
      </c>
    </row>
    <row r="4" customFormat="false" ht="15" hidden="false" customHeight="false" outlineLevel="0" collapsed="false">
      <c r="A4" s="5" t="s">
        <v>477</v>
      </c>
      <c r="B4" s="5" t="s">
        <v>177</v>
      </c>
      <c r="C4" s="5" t="s">
        <v>176</v>
      </c>
      <c r="D4" s="5"/>
    </row>
    <row r="5" customFormat="false" ht="15" hidden="false" customHeight="false" outlineLevel="0" collapsed="false">
      <c r="A5" s="5" t="s">
        <v>478</v>
      </c>
      <c r="B5" s="5" t="s">
        <v>479</v>
      </c>
      <c r="C5" s="5" t="s">
        <v>480</v>
      </c>
      <c r="D5" s="5" t="s">
        <v>481</v>
      </c>
    </row>
    <row r="6" customFormat="false" ht="15" hidden="false" customHeight="false" outlineLevel="0" collapsed="false">
      <c r="A6" s="5" t="s">
        <v>482</v>
      </c>
      <c r="B6" s="5" t="s">
        <v>483</v>
      </c>
      <c r="C6" s="5" t="s">
        <v>484</v>
      </c>
      <c r="D6" s="5" t="s">
        <v>485</v>
      </c>
    </row>
    <row r="7" customFormat="false" ht="23.85" hidden="false" customHeight="false" outlineLevel="0" collapsed="false">
      <c r="A7" s="5" t="s">
        <v>486</v>
      </c>
      <c r="B7" s="5" t="s">
        <v>487</v>
      </c>
      <c r="C7" s="5" t="s">
        <v>488</v>
      </c>
      <c r="D7" s="5" t="s">
        <v>489</v>
      </c>
    </row>
    <row r="8" customFormat="false" ht="57.45" hidden="false" customHeight="false" outlineLevel="0" collapsed="false">
      <c r="A8" s="5" t="s">
        <v>490</v>
      </c>
      <c r="B8" s="5" t="s">
        <v>491</v>
      </c>
      <c r="C8" s="5" t="s">
        <v>492</v>
      </c>
      <c r="D8" s="5" t="s">
        <v>493</v>
      </c>
    </row>
    <row r="9" customFormat="false" ht="15" hidden="false" customHeight="false" outlineLevel="0" collapsed="false">
      <c r="A9" s="5" t="s">
        <v>494</v>
      </c>
      <c r="B9" s="5" t="s">
        <v>315</v>
      </c>
      <c r="C9" s="5" t="s">
        <v>314</v>
      </c>
      <c r="D9" s="5"/>
    </row>
    <row r="10" customFormat="false" ht="15" hidden="false" customHeight="false" outlineLevel="0" collapsed="false">
      <c r="A10" s="5" t="s">
        <v>495</v>
      </c>
      <c r="B10" s="5" t="s">
        <v>326</v>
      </c>
      <c r="C10" s="5" t="s">
        <v>325</v>
      </c>
      <c r="D10" s="5" t="s">
        <v>496</v>
      </c>
    </row>
    <row r="11" customFormat="false" ht="15" hidden="false" customHeight="false" outlineLevel="0" collapsed="false">
      <c r="A11" s="5" t="s">
        <v>497</v>
      </c>
      <c r="B11" s="5" t="s">
        <v>498</v>
      </c>
      <c r="C11" s="5" t="s">
        <v>499</v>
      </c>
      <c r="D11" s="5"/>
    </row>
    <row r="12" customFormat="false" ht="15" hidden="false" customHeight="false" outlineLevel="0" collapsed="false">
      <c r="A12" s="5" t="s">
        <v>81</v>
      </c>
      <c r="B12" s="5" t="s">
        <v>500</v>
      </c>
      <c r="C12" s="5" t="s">
        <v>501</v>
      </c>
      <c r="D12" s="5" t="s">
        <v>502</v>
      </c>
    </row>
    <row r="13" customFormat="false" ht="15" hidden="false" customHeight="false" outlineLevel="0" collapsed="false">
      <c r="A13" s="5" t="s">
        <v>503</v>
      </c>
      <c r="B13" s="5" t="s">
        <v>504</v>
      </c>
      <c r="C13" s="5" t="s">
        <v>253</v>
      </c>
      <c r="D13" s="5" t="s">
        <v>505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4" t="s">
        <v>506</v>
      </c>
      <c r="B1" s="4" t="s">
        <v>507</v>
      </c>
      <c r="C1" s="4" t="s">
        <v>508</v>
      </c>
      <c r="D1" s="4" t="s">
        <v>509</v>
      </c>
      <c r="E1" s="4" t="s">
        <v>510</v>
      </c>
      <c r="F1" s="4" t="s">
        <v>511</v>
      </c>
    </row>
    <row r="2" customFormat="false" ht="15" hidden="false" customHeight="false" outlineLevel="0" collapsed="false">
      <c r="A2" s="5" t="s">
        <v>512</v>
      </c>
      <c r="B2" s="5" t="s">
        <v>51</v>
      </c>
      <c r="C2" s="5"/>
      <c r="D2" s="5" t="s">
        <v>513</v>
      </c>
      <c r="E2" s="5" t="s">
        <v>514</v>
      </c>
      <c r="F2" s="5" t="s">
        <v>515</v>
      </c>
    </row>
    <row r="3" customFormat="false" ht="23.85" hidden="false" customHeight="false" outlineLevel="0" collapsed="false">
      <c r="A3" s="5" t="s">
        <v>512</v>
      </c>
      <c r="B3" s="5" t="s">
        <v>65</v>
      </c>
      <c r="C3" s="5"/>
      <c r="D3" s="5" t="s">
        <v>516</v>
      </c>
      <c r="E3" s="5" t="s">
        <v>517</v>
      </c>
      <c r="F3" s="5" t="s">
        <v>518</v>
      </c>
    </row>
    <row r="4" customFormat="false" ht="23.85" hidden="false" customHeight="false" outlineLevel="0" collapsed="false">
      <c r="A4" s="5" t="s">
        <v>519</v>
      </c>
      <c r="B4" s="5" t="s">
        <v>520</v>
      </c>
      <c r="C4" s="5"/>
      <c r="D4" s="5" t="s">
        <v>521</v>
      </c>
      <c r="E4" s="5" t="s">
        <v>522</v>
      </c>
      <c r="F4" s="5" t="s">
        <v>523</v>
      </c>
    </row>
    <row r="5" customFormat="false" ht="23.85" hidden="false" customHeight="false" outlineLevel="0" collapsed="false">
      <c r="A5" s="5" t="s">
        <v>519</v>
      </c>
      <c r="B5" s="5" t="s">
        <v>524</v>
      </c>
      <c r="C5" s="5"/>
      <c r="D5" s="5" t="s">
        <v>521</v>
      </c>
      <c r="E5" s="5" t="s">
        <v>522</v>
      </c>
      <c r="F5" s="5" t="s">
        <v>523</v>
      </c>
    </row>
    <row r="6" customFormat="false" ht="23.85" hidden="false" customHeight="false" outlineLevel="0" collapsed="false">
      <c r="A6" s="5" t="s">
        <v>519</v>
      </c>
      <c r="B6" s="5" t="s">
        <v>525</v>
      </c>
      <c r="C6" s="5"/>
      <c r="D6" s="5" t="s">
        <v>521</v>
      </c>
      <c r="E6" s="5" t="s">
        <v>522</v>
      </c>
      <c r="F6" s="5" t="s">
        <v>523</v>
      </c>
    </row>
    <row r="7" customFormat="false" ht="23.85" hidden="false" customHeight="false" outlineLevel="0" collapsed="false">
      <c r="A7" s="5" t="s">
        <v>519</v>
      </c>
      <c r="B7" s="5" t="s">
        <v>526</v>
      </c>
      <c r="C7" s="5"/>
      <c r="D7" s="5" t="s">
        <v>521</v>
      </c>
      <c r="E7" s="5" t="s">
        <v>522</v>
      </c>
      <c r="F7" s="5" t="s">
        <v>523</v>
      </c>
    </row>
    <row r="8" customFormat="false" ht="23.85" hidden="false" customHeight="false" outlineLevel="0" collapsed="false">
      <c r="A8" s="5" t="s">
        <v>527</v>
      </c>
      <c r="B8" s="5" t="s">
        <v>528</v>
      </c>
      <c r="C8" s="5"/>
      <c r="D8" s="5" t="s">
        <v>529</v>
      </c>
      <c r="E8" s="5" t="s">
        <v>530</v>
      </c>
      <c r="F8" s="5" t="s">
        <v>523</v>
      </c>
    </row>
    <row r="9" customFormat="false" ht="23.85" hidden="false" customHeight="false" outlineLevel="0" collapsed="false">
      <c r="A9" s="5" t="s">
        <v>527</v>
      </c>
      <c r="B9" s="5" t="s">
        <v>531</v>
      </c>
      <c r="C9" s="5"/>
      <c r="D9" s="5" t="s">
        <v>529</v>
      </c>
      <c r="E9" s="5" t="s">
        <v>530</v>
      </c>
      <c r="F9" s="5" t="s">
        <v>523</v>
      </c>
    </row>
    <row r="10" customFormat="false" ht="23.85" hidden="false" customHeight="false" outlineLevel="0" collapsed="false">
      <c r="A10" s="5" t="s">
        <v>527</v>
      </c>
      <c r="B10" s="5" t="s">
        <v>532</v>
      </c>
      <c r="C10" s="5"/>
      <c r="D10" s="5" t="s">
        <v>529</v>
      </c>
      <c r="E10" s="5" t="s">
        <v>530</v>
      </c>
      <c r="F10" s="5" t="s">
        <v>523</v>
      </c>
    </row>
    <row r="11" customFormat="false" ht="23.85" hidden="false" customHeight="false" outlineLevel="0" collapsed="false">
      <c r="A11" s="5" t="s">
        <v>527</v>
      </c>
      <c r="B11" s="5" t="s">
        <v>533</v>
      </c>
      <c r="C11" s="5"/>
      <c r="D11" s="5" t="s">
        <v>529</v>
      </c>
      <c r="E11" s="5" t="s">
        <v>530</v>
      </c>
      <c r="F11" s="5" t="s">
        <v>523</v>
      </c>
    </row>
    <row r="12" customFormat="false" ht="23.85" hidden="false" customHeight="false" outlineLevel="0" collapsed="false">
      <c r="A12" s="5" t="s">
        <v>527</v>
      </c>
      <c r="B12" s="5" t="s">
        <v>534</v>
      </c>
      <c r="C12" s="5"/>
      <c r="D12" s="5" t="s">
        <v>529</v>
      </c>
      <c r="E12" s="5" t="s">
        <v>530</v>
      </c>
      <c r="F12" s="5" t="s">
        <v>523</v>
      </c>
    </row>
    <row r="13" customFormat="false" ht="23.85" hidden="false" customHeight="false" outlineLevel="0" collapsed="false">
      <c r="A13" s="5" t="s">
        <v>527</v>
      </c>
      <c r="B13" s="5" t="s">
        <v>535</v>
      </c>
      <c r="C13" s="5"/>
      <c r="D13" s="5" t="s">
        <v>529</v>
      </c>
      <c r="E13" s="5" t="s">
        <v>530</v>
      </c>
      <c r="F13" s="5" t="s">
        <v>523</v>
      </c>
    </row>
    <row r="14" customFormat="false" ht="23.85" hidden="false" customHeight="false" outlineLevel="0" collapsed="false">
      <c r="A14" s="5" t="s">
        <v>527</v>
      </c>
      <c r="B14" s="5" t="s">
        <v>536</v>
      </c>
      <c r="C14" s="5"/>
      <c r="D14" s="5" t="s">
        <v>529</v>
      </c>
      <c r="E14" s="5" t="s">
        <v>530</v>
      </c>
      <c r="F14" s="5" t="s">
        <v>523</v>
      </c>
    </row>
    <row r="15" customFormat="false" ht="23.85" hidden="false" customHeight="false" outlineLevel="0" collapsed="false">
      <c r="A15" s="5" t="s">
        <v>527</v>
      </c>
      <c r="B15" s="5" t="s">
        <v>537</v>
      </c>
      <c r="C15" s="5"/>
      <c r="D15" s="5" t="s">
        <v>529</v>
      </c>
      <c r="E15" s="5" t="s">
        <v>530</v>
      </c>
      <c r="F15" s="5" t="s">
        <v>523</v>
      </c>
    </row>
    <row r="16" customFormat="false" ht="23.85" hidden="false" customHeight="false" outlineLevel="0" collapsed="false">
      <c r="A16" s="5" t="s">
        <v>527</v>
      </c>
      <c r="B16" s="5" t="s">
        <v>526</v>
      </c>
      <c r="C16" s="5"/>
      <c r="D16" s="5" t="s">
        <v>529</v>
      </c>
      <c r="E16" s="5" t="s">
        <v>530</v>
      </c>
      <c r="F16" s="5" t="s">
        <v>523</v>
      </c>
    </row>
    <row r="17" customFormat="false" ht="15" hidden="false" customHeight="false" outlineLevel="0" collapsed="false">
      <c r="A17" s="5" t="s">
        <v>538</v>
      </c>
      <c r="B17" s="5" t="s">
        <v>539</v>
      </c>
      <c r="C17" s="5" t="s">
        <v>538</v>
      </c>
      <c r="D17" s="5" t="s">
        <v>540</v>
      </c>
      <c r="E17" s="5" t="s">
        <v>541</v>
      </c>
      <c r="F17" s="5" t="s">
        <v>542</v>
      </c>
    </row>
    <row r="18" customFormat="false" ht="15" hidden="false" customHeight="false" outlineLevel="0" collapsed="false">
      <c r="A18" s="5" t="s">
        <v>538</v>
      </c>
      <c r="B18" s="5" t="s">
        <v>543</v>
      </c>
      <c r="C18" s="5" t="s">
        <v>538</v>
      </c>
      <c r="D18" s="5" t="s">
        <v>540</v>
      </c>
      <c r="E18" s="5" t="s">
        <v>541</v>
      </c>
      <c r="F18" s="5" t="s">
        <v>542</v>
      </c>
    </row>
    <row r="19" customFormat="false" ht="15" hidden="false" customHeight="false" outlineLevel="0" collapsed="false">
      <c r="A19" s="5" t="s">
        <v>538</v>
      </c>
      <c r="B19" s="5" t="s">
        <v>544</v>
      </c>
      <c r="C19" s="5" t="s">
        <v>538</v>
      </c>
      <c r="D19" s="5" t="s">
        <v>540</v>
      </c>
      <c r="E19" s="5" t="s">
        <v>541</v>
      </c>
      <c r="F19" s="5" t="s">
        <v>542</v>
      </c>
    </row>
    <row r="20" customFormat="false" ht="15" hidden="false" customHeight="false" outlineLevel="0" collapsed="false">
      <c r="A20" s="5" t="s">
        <v>538</v>
      </c>
      <c r="B20" s="5" t="s">
        <v>545</v>
      </c>
      <c r="C20" s="5" t="s">
        <v>538</v>
      </c>
      <c r="D20" s="5" t="s">
        <v>540</v>
      </c>
      <c r="E20" s="5" t="s">
        <v>541</v>
      </c>
      <c r="F20" s="5" t="s">
        <v>542</v>
      </c>
    </row>
    <row r="21" customFormat="false" ht="23.85" hidden="false" customHeight="false" outlineLevel="0" collapsed="false">
      <c r="A21" s="5" t="s">
        <v>546</v>
      </c>
      <c r="B21" s="5" t="s">
        <v>333</v>
      </c>
      <c r="C21" s="5"/>
      <c r="D21" s="5" t="s">
        <v>547</v>
      </c>
      <c r="E21" s="5" t="s">
        <v>548</v>
      </c>
      <c r="F21" s="5" t="s">
        <v>549</v>
      </c>
    </row>
    <row r="22" customFormat="false" ht="23.85" hidden="false" customHeight="false" outlineLevel="0" collapsed="false">
      <c r="A22" s="5" t="s">
        <v>546</v>
      </c>
      <c r="B22" s="5" t="s">
        <v>550</v>
      </c>
      <c r="C22" s="5"/>
      <c r="D22" s="5" t="s">
        <v>547</v>
      </c>
      <c r="E22" s="5" t="s">
        <v>548</v>
      </c>
      <c r="F22" s="5" t="s">
        <v>549</v>
      </c>
    </row>
    <row r="23" customFormat="false" ht="23.85" hidden="false" customHeight="false" outlineLevel="0" collapsed="false">
      <c r="A23" s="5" t="s">
        <v>546</v>
      </c>
      <c r="B23" s="5" t="s">
        <v>551</v>
      </c>
      <c r="C23" s="5"/>
      <c r="D23" s="5" t="s">
        <v>547</v>
      </c>
      <c r="E23" s="5" t="s">
        <v>548</v>
      </c>
      <c r="F23" s="5" t="s">
        <v>549</v>
      </c>
    </row>
    <row r="24" customFormat="false" ht="15" hidden="false" customHeight="false" outlineLevel="0" collapsed="false">
      <c r="A24" s="5" t="s">
        <v>552</v>
      </c>
      <c r="B24" s="5" t="s">
        <v>553</v>
      </c>
      <c r="C24" s="5"/>
      <c r="D24" s="5" t="s">
        <v>554</v>
      </c>
      <c r="E24" s="5" t="s">
        <v>555</v>
      </c>
      <c r="F24" s="5" t="s">
        <v>556</v>
      </c>
    </row>
    <row r="25" customFormat="false" ht="15" hidden="false" customHeight="false" outlineLevel="0" collapsed="false">
      <c r="A25" s="5" t="s">
        <v>552</v>
      </c>
      <c r="B25" s="5" t="s">
        <v>265</v>
      </c>
      <c r="C25" s="5"/>
      <c r="D25" s="5" t="s">
        <v>554</v>
      </c>
      <c r="E25" s="5" t="s">
        <v>555</v>
      </c>
      <c r="F25" s="5" t="s">
        <v>556</v>
      </c>
    </row>
    <row r="26" customFormat="false" ht="15" hidden="false" customHeight="false" outlineLevel="0" collapsed="false">
      <c r="A26" s="5" t="s">
        <v>552</v>
      </c>
      <c r="B26" s="5" t="s">
        <v>557</v>
      </c>
      <c r="C26" s="5"/>
      <c r="D26" s="5" t="s">
        <v>554</v>
      </c>
      <c r="E26" s="5" t="s">
        <v>555</v>
      </c>
      <c r="F26" s="5" t="s">
        <v>556</v>
      </c>
    </row>
    <row r="27" customFormat="false" ht="15" hidden="false" customHeight="false" outlineLevel="0" collapsed="false">
      <c r="A27" s="5" t="s">
        <v>558</v>
      </c>
      <c r="B27" s="5" t="s">
        <v>559</v>
      </c>
      <c r="C27" s="5"/>
      <c r="D27" s="5" t="s">
        <v>560</v>
      </c>
      <c r="E27" s="5" t="s">
        <v>561</v>
      </c>
      <c r="F27" s="5" t="s">
        <v>562</v>
      </c>
    </row>
    <row r="28" customFormat="false" ht="15" hidden="false" customHeight="false" outlineLevel="0" collapsed="false">
      <c r="A28" s="5" t="s">
        <v>558</v>
      </c>
      <c r="B28" s="5" t="s">
        <v>563</v>
      </c>
      <c r="C28" s="5"/>
      <c r="D28" s="5" t="s">
        <v>560</v>
      </c>
      <c r="E28" s="5" t="s">
        <v>561</v>
      </c>
      <c r="F28" s="5" t="s">
        <v>562</v>
      </c>
    </row>
    <row r="29" customFormat="false" ht="23.85" hidden="false" customHeight="false" outlineLevel="0" collapsed="false">
      <c r="A29" s="5" t="s">
        <v>564</v>
      </c>
      <c r="B29" s="5" t="s">
        <v>565</v>
      </c>
      <c r="C29" s="5"/>
      <c r="D29" s="5" t="s">
        <v>566</v>
      </c>
      <c r="E29" s="5" t="s">
        <v>567</v>
      </c>
      <c r="F29" s="5" t="s">
        <v>568</v>
      </c>
    </row>
    <row r="30" customFormat="false" ht="23.85" hidden="false" customHeight="false" outlineLevel="0" collapsed="false">
      <c r="A30" s="5" t="s">
        <v>569</v>
      </c>
      <c r="B30" s="5" t="s">
        <v>570</v>
      </c>
      <c r="C30" s="5"/>
      <c r="D30" s="5" t="s">
        <v>571</v>
      </c>
      <c r="E30" s="5" t="s">
        <v>572</v>
      </c>
      <c r="F30" s="5" t="s">
        <v>573</v>
      </c>
    </row>
    <row r="31" customFormat="false" ht="23.85" hidden="false" customHeight="false" outlineLevel="0" collapsed="false">
      <c r="A31" s="5" t="s">
        <v>569</v>
      </c>
      <c r="B31" s="5" t="s">
        <v>574</v>
      </c>
      <c r="C31" s="5"/>
      <c r="D31" s="5" t="s">
        <v>571</v>
      </c>
      <c r="E31" s="5" t="s">
        <v>572</v>
      </c>
      <c r="F31" s="5" t="s">
        <v>573</v>
      </c>
    </row>
    <row r="32" customFormat="false" ht="15" hidden="false" customHeight="false" outlineLevel="0" collapsed="false">
      <c r="A32" s="5" t="s">
        <v>575</v>
      </c>
      <c r="B32" s="5" t="s">
        <v>576</v>
      </c>
      <c r="C32" s="5"/>
      <c r="D32" s="5"/>
      <c r="E32" s="5" t="s">
        <v>577</v>
      </c>
      <c r="F32" s="5" t="s">
        <v>578</v>
      </c>
    </row>
    <row r="33" customFormat="false" ht="15" hidden="false" customHeight="false" outlineLevel="0" collapsed="false">
      <c r="A33" s="5" t="s">
        <v>575</v>
      </c>
      <c r="B33" s="5" t="s">
        <v>579</v>
      </c>
      <c r="C33" s="5"/>
      <c r="D33" s="5"/>
      <c r="E33" s="5" t="s">
        <v>577</v>
      </c>
      <c r="F33" s="5" t="s">
        <v>578</v>
      </c>
    </row>
    <row r="34" customFormat="false" ht="15" hidden="false" customHeight="false" outlineLevel="0" collapsed="false">
      <c r="A34" s="5" t="s">
        <v>575</v>
      </c>
      <c r="B34" s="5" t="s">
        <v>580</v>
      </c>
      <c r="C34" s="5"/>
      <c r="D34" s="5"/>
      <c r="E34" s="5" t="s">
        <v>577</v>
      </c>
      <c r="F34" s="5" t="s">
        <v>578</v>
      </c>
    </row>
    <row r="35" customFormat="false" ht="15" hidden="false" customHeight="false" outlineLevel="0" collapsed="false">
      <c r="A35" s="5" t="s">
        <v>575</v>
      </c>
      <c r="B35" s="5" t="s">
        <v>581</v>
      </c>
      <c r="C35" s="5"/>
      <c r="D35" s="5"/>
      <c r="E35" s="5" t="s">
        <v>577</v>
      </c>
      <c r="F35" s="5" t="s">
        <v>578</v>
      </c>
    </row>
    <row r="36" customFormat="false" ht="15" hidden="false" customHeight="false" outlineLevel="0" collapsed="false">
      <c r="A36" s="5" t="s">
        <v>575</v>
      </c>
      <c r="B36" s="5" t="s">
        <v>526</v>
      </c>
      <c r="C36" s="5"/>
      <c r="D36" s="5"/>
      <c r="E36" s="5" t="s">
        <v>577</v>
      </c>
      <c r="F36" s="5" t="s">
        <v>578</v>
      </c>
    </row>
    <row r="37" customFormat="false" ht="15" hidden="false" customHeight="false" outlineLevel="0" collapsed="false">
      <c r="A37" s="5" t="s">
        <v>582</v>
      </c>
      <c r="B37" s="5" t="s">
        <v>583</v>
      </c>
      <c r="C37" s="5"/>
      <c r="D37" s="5"/>
      <c r="E37" s="5" t="s">
        <v>584</v>
      </c>
      <c r="F37" s="5" t="s">
        <v>308</v>
      </c>
    </row>
    <row r="38" customFormat="false" ht="15" hidden="false" customHeight="false" outlineLevel="0" collapsed="false">
      <c r="A38" s="5" t="s">
        <v>582</v>
      </c>
      <c r="B38" s="5" t="s">
        <v>585</v>
      </c>
      <c r="C38" s="5"/>
      <c r="D38" s="5"/>
      <c r="E38" s="5" t="s">
        <v>584</v>
      </c>
      <c r="F38" s="5" t="s">
        <v>308</v>
      </c>
    </row>
    <row r="39" customFormat="false" ht="15" hidden="false" customHeight="false" outlineLevel="0" collapsed="false">
      <c r="A39" s="5" t="s">
        <v>582</v>
      </c>
      <c r="B39" s="5" t="s">
        <v>586</v>
      </c>
      <c r="C39" s="5"/>
      <c r="D39" s="5"/>
      <c r="E39" s="5" t="s">
        <v>584</v>
      </c>
      <c r="F39" s="5" t="s">
        <v>308</v>
      </c>
    </row>
    <row r="40" customFormat="false" ht="15" hidden="false" customHeight="false" outlineLevel="0" collapsed="false">
      <c r="A40" s="5" t="s">
        <v>582</v>
      </c>
      <c r="B40" s="5" t="s">
        <v>587</v>
      </c>
      <c r="C40" s="5"/>
      <c r="D40" s="5"/>
      <c r="E40" s="5" t="s">
        <v>584</v>
      </c>
      <c r="F40" s="5" t="s">
        <v>308</v>
      </c>
    </row>
    <row r="41" customFormat="false" ht="15" hidden="false" customHeight="false" outlineLevel="0" collapsed="false">
      <c r="A41" s="5" t="s">
        <v>588</v>
      </c>
      <c r="B41" s="5" t="s">
        <v>589</v>
      </c>
      <c r="C41" s="5" t="s">
        <v>152</v>
      </c>
      <c r="D41" s="5" t="s">
        <v>590</v>
      </c>
      <c r="E41" s="5"/>
      <c r="F41" s="5" t="s">
        <v>591</v>
      </c>
    </row>
    <row r="42" customFormat="false" ht="15" hidden="false" customHeight="false" outlineLevel="0" collapsed="false">
      <c r="A42" s="5" t="s">
        <v>588</v>
      </c>
      <c r="B42" s="5" t="s">
        <v>592</v>
      </c>
      <c r="C42" s="5" t="s">
        <v>152</v>
      </c>
      <c r="D42" s="5" t="s">
        <v>590</v>
      </c>
      <c r="E42" s="5"/>
      <c r="F42" s="5" t="s">
        <v>591</v>
      </c>
    </row>
    <row r="43" customFormat="false" ht="15" hidden="false" customHeight="false" outlineLevel="0" collapsed="false">
      <c r="A43" s="5" t="s">
        <v>588</v>
      </c>
      <c r="B43" s="5" t="s">
        <v>593</v>
      </c>
      <c r="C43" s="5" t="s">
        <v>152</v>
      </c>
      <c r="D43" s="5" t="s">
        <v>590</v>
      </c>
      <c r="E43" s="5"/>
      <c r="F43" s="5" t="s">
        <v>591</v>
      </c>
    </row>
    <row r="44" customFormat="false" ht="15" hidden="false" customHeight="false" outlineLevel="0" collapsed="false">
      <c r="A44" s="5" t="s">
        <v>588</v>
      </c>
      <c r="B44" s="5" t="s">
        <v>594</v>
      </c>
      <c r="C44" s="5" t="s">
        <v>152</v>
      </c>
      <c r="D44" s="5" t="s">
        <v>590</v>
      </c>
      <c r="E44" s="5"/>
      <c r="F44" s="5" t="s">
        <v>591</v>
      </c>
    </row>
    <row r="45" customFormat="false" ht="15" hidden="false" customHeight="false" outlineLevel="0" collapsed="false">
      <c r="A45" s="5" t="s">
        <v>588</v>
      </c>
      <c r="B45" s="5" t="s">
        <v>595</v>
      </c>
      <c r="C45" s="5" t="s">
        <v>152</v>
      </c>
      <c r="D45" s="5" t="s">
        <v>590</v>
      </c>
      <c r="E45" s="5"/>
      <c r="F45" s="5" t="s">
        <v>591</v>
      </c>
    </row>
    <row r="46" customFormat="false" ht="15" hidden="false" customHeight="false" outlineLevel="0" collapsed="false">
      <c r="A46" s="5" t="s">
        <v>596</v>
      </c>
      <c r="B46" s="5" t="s">
        <v>597</v>
      </c>
      <c r="C46" s="5" t="s">
        <v>152</v>
      </c>
      <c r="D46" s="5" t="s">
        <v>598</v>
      </c>
      <c r="E46" s="5"/>
      <c r="F46" s="5" t="s">
        <v>599</v>
      </c>
    </row>
    <row r="47" customFormat="false" ht="15" hidden="false" customHeight="false" outlineLevel="0" collapsed="false">
      <c r="A47" s="5" t="s">
        <v>596</v>
      </c>
      <c r="B47" s="5" t="s">
        <v>600</v>
      </c>
      <c r="C47" s="5" t="s">
        <v>152</v>
      </c>
      <c r="D47" s="5" t="s">
        <v>598</v>
      </c>
      <c r="E47" s="5"/>
      <c r="F47" s="5" t="s">
        <v>599</v>
      </c>
    </row>
    <row r="48" customFormat="false" ht="15" hidden="false" customHeight="false" outlineLevel="0" collapsed="false">
      <c r="A48" s="5" t="s">
        <v>596</v>
      </c>
      <c r="B48" s="5" t="s">
        <v>601</v>
      </c>
      <c r="C48" s="5" t="s">
        <v>152</v>
      </c>
      <c r="D48" s="5" t="s">
        <v>598</v>
      </c>
      <c r="E48" s="5"/>
      <c r="F48" s="5" t="s">
        <v>599</v>
      </c>
    </row>
    <row r="49" customFormat="false" ht="15" hidden="false" customHeight="false" outlineLevel="0" collapsed="false">
      <c r="A49" s="5" t="s">
        <v>596</v>
      </c>
      <c r="B49" s="5" t="s">
        <v>602</v>
      </c>
      <c r="C49" s="5" t="s">
        <v>152</v>
      </c>
      <c r="D49" s="5" t="s">
        <v>598</v>
      </c>
      <c r="E49" s="5"/>
      <c r="F49" s="5" t="s">
        <v>599</v>
      </c>
    </row>
    <row r="50" customFormat="false" ht="15" hidden="false" customHeight="false" outlineLevel="0" collapsed="false">
      <c r="A50" s="5" t="s">
        <v>596</v>
      </c>
      <c r="B50" s="5" t="s">
        <v>594</v>
      </c>
      <c r="C50" s="5" t="s">
        <v>152</v>
      </c>
      <c r="D50" s="5" t="s">
        <v>598</v>
      </c>
      <c r="E50" s="5"/>
      <c r="F50" s="5" t="s">
        <v>599</v>
      </c>
    </row>
    <row r="51" customFormat="false" ht="15" hidden="false" customHeight="false" outlineLevel="0" collapsed="false">
      <c r="A51" s="5" t="s">
        <v>596</v>
      </c>
      <c r="B51" s="5" t="s">
        <v>595</v>
      </c>
      <c r="C51" s="5" t="s">
        <v>152</v>
      </c>
      <c r="D51" s="5" t="s">
        <v>598</v>
      </c>
      <c r="E51" s="5"/>
      <c r="F51" s="5" t="s">
        <v>599</v>
      </c>
    </row>
    <row r="52" customFormat="false" ht="15" hidden="false" customHeight="false" outlineLevel="0" collapsed="false">
      <c r="A52" s="5" t="s">
        <v>603</v>
      </c>
      <c r="B52" s="5" t="s">
        <v>604</v>
      </c>
      <c r="C52" s="5" t="s">
        <v>605</v>
      </c>
      <c r="D52" s="5"/>
      <c r="E52" s="5"/>
      <c r="F52" s="5" t="s">
        <v>606</v>
      </c>
    </row>
    <row r="53" customFormat="false" ht="15" hidden="false" customHeight="false" outlineLevel="0" collapsed="false">
      <c r="A53" s="5" t="s">
        <v>603</v>
      </c>
      <c r="B53" s="5" t="s">
        <v>607</v>
      </c>
      <c r="C53" s="5" t="s">
        <v>605</v>
      </c>
      <c r="D53" s="5"/>
      <c r="E53" s="5"/>
      <c r="F53" s="5" t="s">
        <v>606</v>
      </c>
    </row>
    <row r="54" customFormat="false" ht="15" hidden="false" customHeight="false" outlineLevel="0" collapsed="false">
      <c r="A54" s="5" t="s">
        <v>603</v>
      </c>
      <c r="B54" s="5" t="s">
        <v>608</v>
      </c>
      <c r="C54" s="5" t="s">
        <v>605</v>
      </c>
      <c r="D54" s="5"/>
      <c r="E54" s="5"/>
      <c r="F54" s="5" t="s">
        <v>606</v>
      </c>
    </row>
    <row r="55" customFormat="false" ht="15" hidden="false" customHeight="false" outlineLevel="0" collapsed="false">
      <c r="A55" s="5" t="s">
        <v>603</v>
      </c>
      <c r="B55" s="5" t="s">
        <v>609</v>
      </c>
      <c r="C55" s="5" t="s">
        <v>605</v>
      </c>
      <c r="D55" s="5"/>
      <c r="E55" s="5"/>
      <c r="F55" s="5" t="s">
        <v>606</v>
      </c>
    </row>
    <row r="56" customFormat="false" ht="15" hidden="false" customHeight="false" outlineLevel="0" collapsed="false">
      <c r="A56" s="5" t="s">
        <v>610</v>
      </c>
      <c r="B56" s="5" t="s">
        <v>611</v>
      </c>
      <c r="C56" s="5" t="s">
        <v>612</v>
      </c>
      <c r="D56" s="5"/>
      <c r="E56" s="5"/>
      <c r="F56" s="5" t="s">
        <v>613</v>
      </c>
    </row>
    <row r="57" customFormat="false" ht="15" hidden="false" customHeight="false" outlineLevel="0" collapsed="false">
      <c r="A57" s="5" t="s">
        <v>610</v>
      </c>
      <c r="B57" s="5" t="s">
        <v>614</v>
      </c>
      <c r="C57" s="5" t="s">
        <v>612</v>
      </c>
      <c r="D57" s="5"/>
      <c r="E57" s="5"/>
      <c r="F57" s="5" t="s">
        <v>613</v>
      </c>
    </row>
    <row r="58" customFormat="false" ht="15" hidden="false" customHeight="false" outlineLevel="0" collapsed="false">
      <c r="A58" s="5" t="s">
        <v>610</v>
      </c>
      <c r="B58" s="5" t="s">
        <v>615</v>
      </c>
      <c r="C58" s="5" t="s">
        <v>612</v>
      </c>
      <c r="D58" s="5"/>
      <c r="E58" s="5"/>
      <c r="F58" s="5" t="s">
        <v>613</v>
      </c>
    </row>
    <row r="59" customFormat="false" ht="15" hidden="false" customHeight="false" outlineLevel="0" collapsed="false">
      <c r="A59" s="5" t="s">
        <v>610</v>
      </c>
      <c r="B59" s="5" t="s">
        <v>616</v>
      </c>
      <c r="C59" s="5" t="s">
        <v>612</v>
      </c>
      <c r="D59" s="5"/>
      <c r="E59" s="5"/>
      <c r="F59" s="5" t="s">
        <v>613</v>
      </c>
    </row>
    <row r="60" customFormat="false" ht="15" hidden="false" customHeight="false" outlineLevel="0" collapsed="false">
      <c r="A60" s="5" t="s">
        <v>610</v>
      </c>
      <c r="B60" s="5" t="s">
        <v>608</v>
      </c>
      <c r="C60" s="5" t="s">
        <v>612</v>
      </c>
      <c r="D60" s="5"/>
      <c r="E60" s="5"/>
      <c r="F60" s="5" t="s">
        <v>613</v>
      </c>
    </row>
    <row r="61" customFormat="false" ht="15" hidden="false" customHeight="false" outlineLevel="0" collapsed="false">
      <c r="A61" s="5" t="s">
        <v>610</v>
      </c>
      <c r="B61" s="5" t="s">
        <v>617</v>
      </c>
      <c r="C61" s="5" t="s">
        <v>612</v>
      </c>
      <c r="D61" s="5"/>
      <c r="E61" s="5"/>
      <c r="F61" s="5" t="s">
        <v>613</v>
      </c>
    </row>
    <row r="62" customFormat="false" ht="15" hidden="false" customHeight="false" outlineLevel="0" collapsed="false">
      <c r="A62" s="5" t="s">
        <v>618</v>
      </c>
      <c r="B62" s="5" t="s">
        <v>619</v>
      </c>
      <c r="C62" s="5" t="s">
        <v>620</v>
      </c>
      <c r="D62" s="5"/>
      <c r="E62" s="5"/>
      <c r="F62" s="5" t="s">
        <v>606</v>
      </c>
    </row>
    <row r="63" customFormat="false" ht="15" hidden="false" customHeight="false" outlineLevel="0" collapsed="false">
      <c r="A63" s="5" t="s">
        <v>618</v>
      </c>
      <c r="B63" s="5" t="s">
        <v>323</v>
      </c>
      <c r="C63" s="5" t="s">
        <v>620</v>
      </c>
      <c r="D63" s="5"/>
      <c r="E63" s="5"/>
      <c r="F63" s="5" t="s">
        <v>606</v>
      </c>
    </row>
    <row r="64" customFormat="false" ht="15" hidden="false" customHeight="false" outlineLevel="0" collapsed="false">
      <c r="A64" s="5" t="s">
        <v>618</v>
      </c>
      <c r="B64" s="5" t="s">
        <v>621</v>
      </c>
      <c r="C64" s="5" t="s">
        <v>620</v>
      </c>
      <c r="D64" s="5"/>
      <c r="E64" s="5"/>
      <c r="F64" s="5" t="s">
        <v>606</v>
      </c>
    </row>
    <row r="65" customFormat="false" ht="15" hidden="false" customHeight="false" outlineLevel="0" collapsed="false">
      <c r="A65" s="5" t="s">
        <v>622</v>
      </c>
      <c r="B65" s="5" t="s">
        <v>623</v>
      </c>
      <c r="C65" s="5" t="s">
        <v>342</v>
      </c>
      <c r="D65" s="5"/>
      <c r="E65" s="5"/>
      <c r="F65" s="5" t="s">
        <v>606</v>
      </c>
    </row>
    <row r="66" customFormat="false" ht="15" hidden="false" customHeight="false" outlineLevel="0" collapsed="false">
      <c r="A66" s="5" t="s">
        <v>622</v>
      </c>
      <c r="B66" s="5" t="s">
        <v>624</v>
      </c>
      <c r="C66" s="5" t="s">
        <v>342</v>
      </c>
      <c r="D66" s="5"/>
      <c r="E66" s="5"/>
      <c r="F66" s="5" t="s">
        <v>606</v>
      </c>
    </row>
    <row r="67" customFormat="false" ht="15" hidden="false" customHeight="false" outlineLevel="0" collapsed="false">
      <c r="A67" s="5" t="s">
        <v>622</v>
      </c>
      <c r="B67" s="5" t="s">
        <v>323</v>
      </c>
      <c r="C67" s="5" t="s">
        <v>342</v>
      </c>
      <c r="D67" s="5"/>
      <c r="E67" s="5"/>
      <c r="F67" s="5" t="s">
        <v>606</v>
      </c>
    </row>
    <row r="68" customFormat="false" ht="15" hidden="false" customHeight="false" outlineLevel="0" collapsed="false">
      <c r="A68" s="5" t="s">
        <v>622</v>
      </c>
      <c r="B68" s="5" t="s">
        <v>617</v>
      </c>
      <c r="C68" s="5" t="s">
        <v>342</v>
      </c>
      <c r="D68" s="5"/>
      <c r="E68" s="5"/>
      <c r="F68" s="5" t="s">
        <v>606</v>
      </c>
    </row>
    <row r="69" customFormat="false" ht="15" hidden="false" customHeight="false" outlineLevel="0" collapsed="false">
      <c r="A69" s="5" t="s">
        <v>622</v>
      </c>
      <c r="B69" s="5" t="s">
        <v>625</v>
      </c>
      <c r="C69" s="5" t="s">
        <v>342</v>
      </c>
      <c r="D69" s="5"/>
      <c r="E69" s="5"/>
      <c r="F69" s="5" t="s">
        <v>606</v>
      </c>
    </row>
    <row r="70" customFormat="false" ht="15" hidden="false" customHeight="false" outlineLevel="0" collapsed="false">
      <c r="A70" s="5" t="s">
        <v>626</v>
      </c>
      <c r="B70" s="5" t="s">
        <v>627</v>
      </c>
      <c r="C70" s="5" t="s">
        <v>284</v>
      </c>
      <c r="D70" s="5" t="s">
        <v>628</v>
      </c>
      <c r="E70" s="5"/>
      <c r="F70" s="5" t="s">
        <v>629</v>
      </c>
    </row>
    <row r="71" customFormat="false" ht="15" hidden="false" customHeight="false" outlineLevel="0" collapsed="false">
      <c r="A71" s="5" t="s">
        <v>626</v>
      </c>
      <c r="B71" s="5" t="s">
        <v>630</v>
      </c>
      <c r="C71" s="5" t="s">
        <v>284</v>
      </c>
      <c r="D71" s="5" t="s">
        <v>628</v>
      </c>
      <c r="E71" s="5"/>
      <c r="F71" s="5" t="s">
        <v>629</v>
      </c>
    </row>
    <row r="72" customFormat="false" ht="15" hidden="false" customHeight="false" outlineLevel="0" collapsed="false">
      <c r="A72" s="5" t="s">
        <v>626</v>
      </c>
      <c r="B72" s="5" t="s">
        <v>631</v>
      </c>
      <c r="C72" s="5" t="s">
        <v>284</v>
      </c>
      <c r="D72" s="5" t="s">
        <v>628</v>
      </c>
      <c r="E72" s="5"/>
      <c r="F72" s="5" t="s">
        <v>629</v>
      </c>
    </row>
    <row r="73" customFormat="false" ht="15" hidden="false" customHeight="false" outlineLevel="0" collapsed="false">
      <c r="A73" s="5" t="s">
        <v>632</v>
      </c>
      <c r="B73" s="5" t="s">
        <v>633</v>
      </c>
      <c r="C73" s="5" t="s">
        <v>634</v>
      </c>
      <c r="D73" s="5"/>
      <c r="E73" s="5"/>
      <c r="F73" s="5" t="s">
        <v>606</v>
      </c>
    </row>
    <row r="74" customFormat="false" ht="15" hidden="false" customHeight="false" outlineLevel="0" collapsed="false">
      <c r="A74" s="5" t="s">
        <v>632</v>
      </c>
      <c r="B74" s="5" t="s">
        <v>635</v>
      </c>
      <c r="C74" s="5" t="s">
        <v>634</v>
      </c>
      <c r="D74" s="5"/>
      <c r="E74" s="5"/>
      <c r="F74" s="5" t="s">
        <v>606</v>
      </c>
    </row>
    <row r="75" customFormat="false" ht="15" hidden="false" customHeight="false" outlineLevel="0" collapsed="false">
      <c r="A75" s="5" t="s">
        <v>632</v>
      </c>
      <c r="B75" s="5" t="s">
        <v>636</v>
      </c>
      <c r="C75" s="5" t="s">
        <v>634</v>
      </c>
      <c r="D75" s="5"/>
      <c r="E75" s="5"/>
      <c r="F75" s="5" t="s">
        <v>606</v>
      </c>
    </row>
    <row r="76" customFormat="false" ht="15" hidden="false" customHeight="false" outlineLevel="0" collapsed="false">
      <c r="A76" s="5" t="s">
        <v>637</v>
      </c>
      <c r="B76" s="5" t="s">
        <v>604</v>
      </c>
      <c r="C76" s="5" t="s">
        <v>372</v>
      </c>
      <c r="D76" s="5" t="s">
        <v>638</v>
      </c>
      <c r="E76" s="5"/>
      <c r="F76" s="5" t="s">
        <v>374</v>
      </c>
    </row>
    <row r="77" customFormat="false" ht="15" hidden="false" customHeight="false" outlineLevel="0" collapsed="false">
      <c r="A77" s="5" t="s">
        <v>637</v>
      </c>
      <c r="B77" s="5" t="s">
        <v>639</v>
      </c>
      <c r="C77" s="5" t="s">
        <v>372</v>
      </c>
      <c r="D77" s="5" t="s">
        <v>638</v>
      </c>
      <c r="E77" s="5"/>
      <c r="F77" s="5" t="s">
        <v>374</v>
      </c>
    </row>
    <row r="78" customFormat="false" ht="15" hidden="false" customHeight="false" outlineLevel="0" collapsed="false">
      <c r="A78" s="5" t="s">
        <v>637</v>
      </c>
      <c r="B78" s="5" t="s">
        <v>640</v>
      </c>
      <c r="C78" s="5" t="s">
        <v>372</v>
      </c>
      <c r="D78" s="5" t="s">
        <v>638</v>
      </c>
      <c r="E78" s="5"/>
      <c r="F78" s="5" t="s">
        <v>374</v>
      </c>
    </row>
    <row r="79" customFormat="false" ht="15" hidden="false" customHeight="false" outlineLevel="0" collapsed="false">
      <c r="A79" s="5" t="s">
        <v>641</v>
      </c>
      <c r="B79" s="5" t="s">
        <v>642</v>
      </c>
      <c r="C79" s="5" t="s">
        <v>372</v>
      </c>
      <c r="D79" s="5"/>
      <c r="E79" s="5"/>
      <c r="F79" s="5" t="s">
        <v>374</v>
      </c>
    </row>
    <row r="80" customFormat="false" ht="15" hidden="false" customHeight="false" outlineLevel="0" collapsed="false">
      <c r="A80" s="5" t="s">
        <v>641</v>
      </c>
      <c r="B80" s="5" t="s">
        <v>643</v>
      </c>
      <c r="C80" s="5" t="s">
        <v>372</v>
      </c>
      <c r="D80" s="5"/>
      <c r="E80" s="5"/>
      <c r="F80" s="5" t="s">
        <v>374</v>
      </c>
    </row>
    <row r="81" customFormat="false" ht="15" hidden="false" customHeight="false" outlineLevel="0" collapsed="false">
      <c r="A81" s="5" t="s">
        <v>641</v>
      </c>
      <c r="B81" s="5" t="s">
        <v>644</v>
      </c>
      <c r="C81" s="5" t="s">
        <v>372</v>
      </c>
      <c r="D81" s="5"/>
      <c r="E81" s="5"/>
      <c r="F81" s="5" t="s">
        <v>374</v>
      </c>
    </row>
  </sheetData>
  <autoFilter ref="A1:F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645</v>
      </c>
      <c r="B1" s="4" t="s">
        <v>646</v>
      </c>
      <c r="C1" s="4" t="s">
        <v>647</v>
      </c>
      <c r="D1" s="4" t="s">
        <v>648</v>
      </c>
      <c r="E1" s="4" t="s">
        <v>649</v>
      </c>
      <c r="F1" s="4" t="s">
        <v>30</v>
      </c>
    </row>
    <row r="2" customFormat="false" ht="15" hidden="false" customHeight="false" outlineLevel="0" collapsed="false">
      <c r="A2" s="5" t="s">
        <v>284</v>
      </c>
      <c r="B2" s="5" t="s">
        <v>650</v>
      </c>
      <c r="C2" s="5" t="s">
        <v>651</v>
      </c>
      <c r="D2" s="5" t="s">
        <v>652</v>
      </c>
      <c r="E2" s="5" t="s">
        <v>653</v>
      </c>
      <c r="F2" s="5"/>
    </row>
    <row r="3" customFormat="false" ht="15" hidden="false" customHeight="false" outlineLevel="0" collapsed="false">
      <c r="A3" s="5" t="s">
        <v>284</v>
      </c>
      <c r="B3" s="5" t="s">
        <v>654</v>
      </c>
      <c r="C3" s="5" t="s">
        <v>655</v>
      </c>
      <c r="D3" s="5" t="s">
        <v>652</v>
      </c>
      <c r="E3" s="5" t="s">
        <v>656</v>
      </c>
      <c r="F3" s="5" t="s">
        <v>657</v>
      </c>
    </row>
    <row r="4" customFormat="false" ht="15" hidden="false" customHeight="false" outlineLevel="0" collapsed="false">
      <c r="A4" s="5" t="s">
        <v>284</v>
      </c>
      <c r="B4" s="5" t="s">
        <v>658</v>
      </c>
      <c r="C4" s="5" t="s">
        <v>659</v>
      </c>
      <c r="D4" s="5" t="s">
        <v>652</v>
      </c>
      <c r="E4" s="5" t="s">
        <v>57</v>
      </c>
      <c r="F4" s="5"/>
    </row>
    <row r="5" customFormat="false" ht="15" hidden="false" customHeight="false" outlineLevel="0" collapsed="false">
      <c r="A5" s="5" t="s">
        <v>284</v>
      </c>
      <c r="B5" s="5" t="s">
        <v>660</v>
      </c>
      <c r="C5" s="5" t="s">
        <v>661</v>
      </c>
      <c r="D5" s="5" t="s">
        <v>652</v>
      </c>
      <c r="E5" s="5" t="s">
        <v>656</v>
      </c>
      <c r="F5" s="5" t="s">
        <v>662</v>
      </c>
    </row>
    <row r="6" customFormat="false" ht="15" hidden="false" customHeight="false" outlineLevel="0" collapsed="false">
      <c r="A6" s="5" t="s">
        <v>284</v>
      </c>
      <c r="B6" s="5" t="s">
        <v>663</v>
      </c>
      <c r="C6" s="5" t="s">
        <v>664</v>
      </c>
      <c r="D6" s="5" t="s">
        <v>652</v>
      </c>
      <c r="E6" s="5" t="s">
        <v>57</v>
      </c>
      <c r="F6" s="5"/>
    </row>
    <row r="7" customFormat="false" ht="15" hidden="false" customHeight="false" outlineLevel="0" collapsed="false">
      <c r="A7" s="5" t="s">
        <v>284</v>
      </c>
      <c r="B7" s="5" t="s">
        <v>665</v>
      </c>
      <c r="C7" s="5" t="s">
        <v>666</v>
      </c>
      <c r="D7" s="5" t="s">
        <v>652</v>
      </c>
      <c r="E7" s="5" t="s">
        <v>57</v>
      </c>
      <c r="F7" s="5" t="s">
        <v>667</v>
      </c>
    </row>
    <row r="8" customFormat="false" ht="23.85" hidden="false" customHeight="false" outlineLevel="0" collapsed="false">
      <c r="A8" s="5" t="s">
        <v>284</v>
      </c>
      <c r="B8" s="5" t="s">
        <v>668</v>
      </c>
      <c r="C8" s="5" t="s">
        <v>651</v>
      </c>
      <c r="D8" s="5" t="s">
        <v>652</v>
      </c>
      <c r="E8" s="5" t="s">
        <v>656</v>
      </c>
      <c r="F8" s="5" t="s">
        <v>669</v>
      </c>
    </row>
    <row r="9" customFormat="false" ht="15" hidden="false" customHeight="false" outlineLevel="0" collapsed="false">
      <c r="A9" s="5" t="s">
        <v>284</v>
      </c>
      <c r="B9" s="5" t="s">
        <v>670</v>
      </c>
      <c r="C9" s="5" t="s">
        <v>651</v>
      </c>
      <c r="D9" s="5" t="s">
        <v>671</v>
      </c>
      <c r="E9" s="5" t="s">
        <v>57</v>
      </c>
      <c r="F9" s="5" t="s">
        <v>672</v>
      </c>
    </row>
    <row r="10" customFormat="false" ht="15" hidden="false" customHeight="false" outlineLevel="0" collapsed="false">
      <c r="A10" s="5" t="s">
        <v>284</v>
      </c>
      <c r="B10" s="5" t="s">
        <v>558</v>
      </c>
      <c r="C10" s="5" t="s">
        <v>673</v>
      </c>
      <c r="D10" s="5" t="s">
        <v>652</v>
      </c>
      <c r="E10" s="5" t="s">
        <v>57</v>
      </c>
      <c r="F10" s="5"/>
    </row>
    <row r="11" customFormat="false" ht="23.85" hidden="false" customHeight="false" outlineLevel="0" collapsed="false">
      <c r="A11" s="5" t="s">
        <v>284</v>
      </c>
      <c r="B11" s="5" t="s">
        <v>674</v>
      </c>
      <c r="C11" s="5" t="s">
        <v>675</v>
      </c>
      <c r="D11" s="5" t="s">
        <v>676</v>
      </c>
      <c r="E11" s="5" t="s">
        <v>677</v>
      </c>
      <c r="F11" s="5" t="s">
        <v>678</v>
      </c>
    </row>
    <row r="12" customFormat="false" ht="15" hidden="false" customHeight="false" outlineLevel="0" collapsed="false">
      <c r="A12" s="5" t="s">
        <v>679</v>
      </c>
      <c r="B12" s="5" t="s">
        <v>680</v>
      </c>
      <c r="C12" s="5"/>
      <c r="D12" s="5" t="s">
        <v>652</v>
      </c>
      <c r="E12" s="5" t="s">
        <v>681</v>
      </c>
      <c r="F12" s="5" t="s">
        <v>682</v>
      </c>
    </row>
    <row r="13" customFormat="false" ht="15" hidden="false" customHeight="false" outlineLevel="0" collapsed="false">
      <c r="A13" s="5" t="s">
        <v>284</v>
      </c>
      <c r="B13" s="5" t="s">
        <v>683</v>
      </c>
      <c r="C13" s="5" t="s">
        <v>684</v>
      </c>
      <c r="D13" s="5" t="s">
        <v>685</v>
      </c>
      <c r="E13" s="5" t="s">
        <v>57</v>
      </c>
      <c r="F13" s="5"/>
    </row>
    <row r="14" customFormat="false" ht="15" hidden="false" customHeight="false" outlineLevel="0" collapsed="false">
      <c r="A14" s="5" t="s">
        <v>284</v>
      </c>
      <c r="B14" s="5" t="s">
        <v>686</v>
      </c>
      <c r="C14" s="5" t="s">
        <v>687</v>
      </c>
      <c r="D14" s="5" t="s">
        <v>685</v>
      </c>
      <c r="E14" s="5" t="s">
        <v>688</v>
      </c>
      <c r="F14" s="5" t="s">
        <v>689</v>
      </c>
    </row>
    <row r="15" customFormat="false" ht="15" hidden="false" customHeight="false" outlineLevel="0" collapsed="false">
      <c r="A15" s="5" t="s">
        <v>81</v>
      </c>
      <c r="B15" s="5" t="s">
        <v>690</v>
      </c>
      <c r="C15" s="5" t="s">
        <v>651</v>
      </c>
      <c r="D15" s="5" t="s">
        <v>652</v>
      </c>
      <c r="E15" s="5" t="s">
        <v>501</v>
      </c>
      <c r="F15" s="5"/>
    </row>
    <row r="16" customFormat="false" ht="15" hidden="false" customHeight="false" outlineLevel="0" collapsed="false">
      <c r="A16" s="5" t="s">
        <v>81</v>
      </c>
      <c r="B16" s="5" t="s">
        <v>691</v>
      </c>
      <c r="C16" s="5" t="s">
        <v>673</v>
      </c>
      <c r="D16" s="5" t="s">
        <v>652</v>
      </c>
      <c r="E16" s="5" t="s">
        <v>501</v>
      </c>
      <c r="F16" s="5"/>
    </row>
    <row r="17" customFormat="false" ht="15" hidden="false" customHeight="false" outlineLevel="0" collapsed="false">
      <c r="A17" s="5" t="s">
        <v>81</v>
      </c>
      <c r="B17" s="5" t="s">
        <v>546</v>
      </c>
      <c r="C17" s="5" t="s">
        <v>673</v>
      </c>
      <c r="D17" s="5" t="s">
        <v>652</v>
      </c>
      <c r="E17" s="5" t="s">
        <v>86</v>
      </c>
      <c r="F17" s="5"/>
    </row>
    <row r="18" customFormat="false" ht="15" hidden="false" customHeight="false" outlineLevel="0" collapsed="false">
      <c r="A18" s="5" t="s">
        <v>81</v>
      </c>
      <c r="B18" s="5" t="s">
        <v>692</v>
      </c>
      <c r="C18" s="5" t="s">
        <v>693</v>
      </c>
      <c r="D18" s="5" t="s">
        <v>652</v>
      </c>
      <c r="E18" s="5" t="s">
        <v>694</v>
      </c>
      <c r="F18" s="5"/>
    </row>
    <row r="19" customFormat="false" ht="15" hidden="false" customHeight="false" outlineLevel="0" collapsed="false">
      <c r="A19" s="5" t="s">
        <v>326</v>
      </c>
      <c r="B19" s="5" t="s">
        <v>695</v>
      </c>
      <c r="C19" s="5" t="s">
        <v>696</v>
      </c>
      <c r="D19" s="5" t="s">
        <v>652</v>
      </c>
      <c r="E19" s="5" t="s">
        <v>501</v>
      </c>
      <c r="F19" s="5"/>
    </row>
    <row r="20" customFormat="false" ht="15" hidden="false" customHeight="false" outlineLevel="0" collapsed="false">
      <c r="A20" s="5" t="s">
        <v>326</v>
      </c>
      <c r="B20" s="5" t="s">
        <v>697</v>
      </c>
      <c r="C20" s="5" t="s">
        <v>684</v>
      </c>
      <c r="D20" s="5" t="s">
        <v>652</v>
      </c>
      <c r="E20" s="5" t="s">
        <v>86</v>
      </c>
      <c r="F20" s="5" t="s">
        <v>698</v>
      </c>
    </row>
    <row r="21" customFormat="false" ht="15" hidden="false" customHeight="false" outlineLevel="0" collapsed="false">
      <c r="A21" s="5" t="s">
        <v>326</v>
      </c>
      <c r="B21" s="5" t="s">
        <v>699</v>
      </c>
      <c r="C21" s="5" t="s">
        <v>700</v>
      </c>
      <c r="D21" s="5" t="s">
        <v>652</v>
      </c>
      <c r="E21" s="5" t="s">
        <v>501</v>
      </c>
      <c r="F21" s="5"/>
    </row>
    <row r="22" customFormat="false" ht="15" hidden="false" customHeight="false" outlineLevel="0" collapsed="false">
      <c r="A22" s="5" t="s">
        <v>326</v>
      </c>
      <c r="B22" s="5" t="s">
        <v>701</v>
      </c>
      <c r="C22" s="5" t="s">
        <v>702</v>
      </c>
      <c r="D22" s="5" t="s">
        <v>685</v>
      </c>
      <c r="E22" s="5" t="s">
        <v>501</v>
      </c>
      <c r="F22" s="5"/>
    </row>
    <row r="23" customFormat="false" ht="15" hidden="false" customHeight="false" outlineLevel="0" collapsed="false">
      <c r="A23" s="5" t="s">
        <v>326</v>
      </c>
      <c r="B23" s="5" t="s">
        <v>703</v>
      </c>
      <c r="C23" s="5" t="s">
        <v>659</v>
      </c>
      <c r="D23" s="5" t="s">
        <v>685</v>
      </c>
      <c r="E23" s="5" t="s">
        <v>86</v>
      </c>
      <c r="F23" s="5" t="s">
        <v>704</v>
      </c>
    </row>
    <row r="24" customFormat="false" ht="15" hidden="false" customHeight="false" outlineLevel="0" collapsed="false">
      <c r="A24" s="5" t="s">
        <v>605</v>
      </c>
      <c r="B24" s="5" t="s">
        <v>705</v>
      </c>
      <c r="C24" s="5" t="s">
        <v>706</v>
      </c>
      <c r="D24" s="5" t="s">
        <v>652</v>
      </c>
      <c r="E24" s="5" t="s">
        <v>707</v>
      </c>
      <c r="F24" s="5"/>
    </row>
    <row r="25" customFormat="false" ht="15" hidden="false" customHeight="false" outlineLevel="0" collapsed="false">
      <c r="A25" s="5" t="s">
        <v>605</v>
      </c>
      <c r="B25" s="5" t="s">
        <v>708</v>
      </c>
      <c r="C25" s="5"/>
      <c r="D25" s="5" t="s">
        <v>652</v>
      </c>
      <c r="E25" s="5" t="s">
        <v>709</v>
      </c>
      <c r="F25" s="5"/>
    </row>
    <row r="26" customFormat="false" ht="15" hidden="false" customHeight="false" outlineLevel="0" collapsed="false">
      <c r="A26" s="5" t="s">
        <v>605</v>
      </c>
      <c r="B26" s="5" t="s">
        <v>710</v>
      </c>
      <c r="C26" s="5" t="s">
        <v>711</v>
      </c>
      <c r="D26" s="5" t="s">
        <v>712</v>
      </c>
      <c r="E26" s="5" t="s">
        <v>709</v>
      </c>
      <c r="F26" s="5"/>
    </row>
    <row r="27" customFormat="false" ht="15" hidden="false" customHeight="false" outlineLevel="0" collapsed="false">
      <c r="A27" s="5" t="s">
        <v>605</v>
      </c>
      <c r="B27" s="5" t="s">
        <v>713</v>
      </c>
      <c r="C27" s="5" t="s">
        <v>714</v>
      </c>
      <c r="D27" s="5" t="s">
        <v>685</v>
      </c>
      <c r="E27" s="5" t="s">
        <v>709</v>
      </c>
      <c r="F27" s="5"/>
    </row>
    <row r="28" customFormat="false" ht="15" hidden="false" customHeight="false" outlineLevel="0" collapsed="false">
      <c r="A28" s="5" t="s">
        <v>612</v>
      </c>
      <c r="B28" s="5" t="s">
        <v>715</v>
      </c>
      <c r="C28" s="5" t="s">
        <v>711</v>
      </c>
      <c r="D28" s="5" t="s">
        <v>652</v>
      </c>
      <c r="E28" s="5" t="s">
        <v>716</v>
      </c>
      <c r="F28" s="5"/>
    </row>
    <row r="29" customFormat="false" ht="15" hidden="false" customHeight="false" outlineLevel="0" collapsed="false">
      <c r="A29" s="5" t="s">
        <v>612</v>
      </c>
      <c r="B29" s="5" t="s">
        <v>717</v>
      </c>
      <c r="C29" s="5" t="s">
        <v>718</v>
      </c>
      <c r="D29" s="5" t="s">
        <v>652</v>
      </c>
      <c r="E29" s="5" t="s">
        <v>181</v>
      </c>
      <c r="F29" s="5"/>
    </row>
    <row r="30" customFormat="false" ht="15" hidden="false" customHeight="false" outlineLevel="0" collapsed="false">
      <c r="A30" s="5" t="s">
        <v>612</v>
      </c>
      <c r="B30" s="5" t="s">
        <v>719</v>
      </c>
      <c r="C30" s="5"/>
      <c r="D30" s="5" t="s">
        <v>652</v>
      </c>
      <c r="E30" s="5" t="s">
        <v>181</v>
      </c>
      <c r="F30" s="5"/>
    </row>
    <row r="31" customFormat="false" ht="15" hidden="false" customHeight="false" outlineLevel="0" collapsed="false">
      <c r="A31" s="5" t="s">
        <v>612</v>
      </c>
      <c r="B31" s="5" t="s">
        <v>720</v>
      </c>
      <c r="C31" s="5" t="s">
        <v>666</v>
      </c>
      <c r="D31" s="5" t="s">
        <v>652</v>
      </c>
      <c r="E31" s="5" t="s">
        <v>181</v>
      </c>
      <c r="F31" s="5" t="s">
        <v>721</v>
      </c>
    </row>
    <row r="32" customFormat="false" ht="15" hidden="false" customHeight="false" outlineLevel="0" collapsed="false">
      <c r="A32" s="5" t="s">
        <v>152</v>
      </c>
      <c r="B32" s="5" t="s">
        <v>722</v>
      </c>
      <c r="C32" s="5"/>
      <c r="D32" s="5" t="s">
        <v>652</v>
      </c>
      <c r="E32" s="5" t="s">
        <v>723</v>
      </c>
      <c r="F32" s="5"/>
    </row>
    <row r="33" customFormat="false" ht="15" hidden="false" customHeight="false" outlineLevel="0" collapsed="false">
      <c r="A33" s="5" t="s">
        <v>152</v>
      </c>
      <c r="B33" s="5" t="s">
        <v>724</v>
      </c>
      <c r="C33" s="5" t="s">
        <v>725</v>
      </c>
      <c r="D33" s="5" t="s">
        <v>685</v>
      </c>
      <c r="E33" s="5" t="s">
        <v>723</v>
      </c>
      <c r="F33" s="5"/>
    </row>
    <row r="34" customFormat="false" ht="15" hidden="false" customHeight="false" outlineLevel="0" collapsed="false">
      <c r="A34" s="5" t="s">
        <v>152</v>
      </c>
      <c r="B34" s="5" t="s">
        <v>726</v>
      </c>
      <c r="C34" s="5" t="s">
        <v>651</v>
      </c>
      <c r="D34" s="5" t="s">
        <v>727</v>
      </c>
      <c r="E34" s="5" t="s">
        <v>728</v>
      </c>
      <c r="F34" s="5"/>
    </row>
    <row r="35" customFormat="false" ht="15" hidden="false" customHeight="false" outlineLevel="0" collapsed="false">
      <c r="A35" s="5" t="s">
        <v>152</v>
      </c>
      <c r="B35" s="5" t="s">
        <v>729</v>
      </c>
      <c r="C35" s="5" t="s">
        <v>730</v>
      </c>
      <c r="D35" s="5" t="s">
        <v>685</v>
      </c>
      <c r="E35" s="5" t="s">
        <v>723</v>
      </c>
      <c r="F35" s="5" t="s">
        <v>731</v>
      </c>
    </row>
    <row r="36" customFormat="false" ht="15" hidden="false" customHeight="false" outlineLevel="0" collapsed="false">
      <c r="A36" s="5" t="s">
        <v>620</v>
      </c>
      <c r="B36" s="5" t="s">
        <v>732</v>
      </c>
      <c r="C36" s="5"/>
      <c r="D36" s="5" t="s">
        <v>652</v>
      </c>
      <c r="E36" s="5" t="s">
        <v>499</v>
      </c>
      <c r="F36" s="5" t="s">
        <v>733</v>
      </c>
    </row>
    <row r="37" customFormat="false" ht="15" hidden="false" customHeight="false" outlineLevel="0" collapsed="false">
      <c r="A37" s="5" t="s">
        <v>620</v>
      </c>
      <c r="B37" s="5" t="s">
        <v>734</v>
      </c>
      <c r="C37" s="5"/>
      <c r="D37" s="5" t="s">
        <v>652</v>
      </c>
      <c r="E37" s="5" t="s">
        <v>499</v>
      </c>
      <c r="F37" s="5"/>
    </row>
    <row r="38" customFormat="false" ht="15" hidden="false" customHeight="false" outlineLevel="0" collapsed="false">
      <c r="A38" s="5" t="s">
        <v>735</v>
      </c>
      <c r="B38" s="5" t="s">
        <v>736</v>
      </c>
      <c r="C38" s="5"/>
      <c r="D38" s="5" t="s">
        <v>652</v>
      </c>
      <c r="E38" s="5" t="s">
        <v>499</v>
      </c>
      <c r="F38" s="5"/>
    </row>
    <row r="39" customFormat="false" ht="15" hidden="false" customHeight="false" outlineLevel="0" collapsed="false">
      <c r="A39" s="5" t="s">
        <v>735</v>
      </c>
      <c r="B39" s="5" t="s">
        <v>737</v>
      </c>
      <c r="C39" s="5"/>
      <c r="D39" s="5" t="s">
        <v>685</v>
      </c>
      <c r="E39" s="5" t="s">
        <v>499</v>
      </c>
      <c r="F39" s="5"/>
    </row>
    <row r="40" customFormat="false" ht="15" hidden="false" customHeight="false" outlineLevel="0" collapsed="false">
      <c r="A40" s="5" t="s">
        <v>372</v>
      </c>
      <c r="B40" s="5" t="s">
        <v>738</v>
      </c>
      <c r="C40" s="5"/>
      <c r="D40" s="5" t="s">
        <v>652</v>
      </c>
      <c r="E40" s="5" t="s">
        <v>739</v>
      </c>
      <c r="F40" s="5"/>
    </row>
    <row r="41" customFormat="false" ht="15" hidden="false" customHeight="false" outlineLevel="0" collapsed="false">
      <c r="A41" s="5" t="s">
        <v>372</v>
      </c>
      <c r="B41" s="5" t="s">
        <v>740</v>
      </c>
      <c r="C41" s="5"/>
      <c r="D41" s="5" t="s">
        <v>741</v>
      </c>
      <c r="E41" s="5" t="s">
        <v>376</v>
      </c>
      <c r="F41" s="5"/>
    </row>
    <row r="42" customFormat="false" ht="15" hidden="false" customHeight="false" outlineLevel="0" collapsed="false">
      <c r="A42" s="5" t="s">
        <v>742</v>
      </c>
      <c r="B42" s="5" t="s">
        <v>743</v>
      </c>
      <c r="C42" s="5"/>
      <c r="D42" s="5" t="s">
        <v>744</v>
      </c>
      <c r="E42" s="5" t="s">
        <v>745</v>
      </c>
      <c r="F42" s="5" t="s">
        <v>746</v>
      </c>
    </row>
    <row r="43" customFormat="false" ht="15" hidden="false" customHeight="false" outlineLevel="0" collapsed="false">
      <c r="A43" s="5" t="s">
        <v>747</v>
      </c>
      <c r="B43" s="5" t="s">
        <v>748</v>
      </c>
      <c r="C43" s="5"/>
      <c r="D43" s="5" t="s">
        <v>652</v>
      </c>
      <c r="E43" s="5" t="s">
        <v>749</v>
      </c>
      <c r="F43" s="5"/>
    </row>
  </sheetData>
  <autoFilter ref="A1:F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6"/>
    <col collapsed="false" customWidth="true" hidden="false" outlineLevel="0" max="4" min="4" style="0" width="80"/>
    <col collapsed="false" customWidth="true" hidden="false" outlineLevel="0" max="5" min="5" style="0" width="44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4" t="s">
        <v>750</v>
      </c>
      <c r="B1" s="4" t="s">
        <v>29</v>
      </c>
      <c r="C1" s="4" t="s">
        <v>751</v>
      </c>
      <c r="D1" s="4" t="s">
        <v>752</v>
      </c>
      <c r="E1" s="4" t="s">
        <v>753</v>
      </c>
      <c r="F1" s="4" t="s">
        <v>754</v>
      </c>
    </row>
    <row r="2" customFormat="false" ht="23.85" hidden="false" customHeight="false" outlineLevel="0" collapsed="false">
      <c r="A2" s="5" t="s">
        <v>48</v>
      </c>
      <c r="B2" s="5" t="s">
        <v>51</v>
      </c>
      <c r="C2" s="5" t="s">
        <v>755</v>
      </c>
      <c r="D2" s="5" t="s">
        <v>756</v>
      </c>
      <c r="E2" s="5" t="s">
        <v>757</v>
      </c>
      <c r="F2" s="5" t="s">
        <v>758</v>
      </c>
    </row>
    <row r="3" customFormat="false" ht="23.85" hidden="false" customHeight="false" outlineLevel="0" collapsed="false">
      <c r="A3" s="5" t="s">
        <v>78</v>
      </c>
      <c r="B3" s="5" t="s">
        <v>759</v>
      </c>
      <c r="C3" s="5" t="s">
        <v>760</v>
      </c>
      <c r="D3" s="5" t="s">
        <v>761</v>
      </c>
      <c r="E3" s="5" t="s">
        <v>762</v>
      </c>
      <c r="F3" s="5" t="s">
        <v>763</v>
      </c>
    </row>
    <row r="4" customFormat="false" ht="23.85" hidden="false" customHeight="false" outlineLevel="0" collapsed="false">
      <c r="A4" s="5" t="s">
        <v>84</v>
      </c>
      <c r="B4" s="5" t="s">
        <v>764</v>
      </c>
      <c r="C4" s="5" t="s">
        <v>765</v>
      </c>
      <c r="D4" s="5" t="s">
        <v>766</v>
      </c>
      <c r="E4" s="5" t="s">
        <v>767</v>
      </c>
      <c r="F4" s="5" t="s">
        <v>768</v>
      </c>
    </row>
    <row r="5" customFormat="false" ht="23.85" hidden="false" customHeight="false" outlineLevel="0" collapsed="false">
      <c r="A5" s="5" t="s">
        <v>224</v>
      </c>
      <c r="B5" s="5" t="s">
        <v>478</v>
      </c>
      <c r="C5" s="5" t="s">
        <v>769</v>
      </c>
      <c r="D5" s="5" t="s">
        <v>770</v>
      </c>
      <c r="E5" s="5" t="s">
        <v>771</v>
      </c>
      <c r="F5" s="5" t="s">
        <v>772</v>
      </c>
    </row>
    <row r="6" customFormat="false" ht="35.05" hidden="false" customHeight="false" outlineLevel="0" collapsed="false">
      <c r="A6" s="5" t="s">
        <v>174</v>
      </c>
      <c r="B6" s="5" t="s">
        <v>372</v>
      </c>
      <c r="C6" s="5" t="s">
        <v>773</v>
      </c>
      <c r="D6" s="5" t="s">
        <v>774</v>
      </c>
      <c r="E6" s="5" t="s">
        <v>775</v>
      </c>
      <c r="F6" s="5" t="s">
        <v>776</v>
      </c>
    </row>
    <row r="7" customFormat="false" ht="23.85" hidden="false" customHeight="false" outlineLevel="0" collapsed="false">
      <c r="A7" s="5" t="s">
        <v>204</v>
      </c>
      <c r="B7" s="5" t="s">
        <v>777</v>
      </c>
      <c r="C7" s="5" t="s">
        <v>778</v>
      </c>
      <c r="D7" s="5" t="s">
        <v>779</v>
      </c>
      <c r="E7" s="5" t="s">
        <v>780</v>
      </c>
      <c r="F7" s="5" t="s">
        <v>781</v>
      </c>
    </row>
    <row r="8" customFormat="false" ht="15" hidden="false" customHeight="false" outlineLevel="0" collapsed="false">
      <c r="A8" s="5" t="s">
        <v>287</v>
      </c>
      <c r="B8" s="5" t="s">
        <v>782</v>
      </c>
      <c r="C8" s="5" t="s">
        <v>783</v>
      </c>
      <c r="D8" s="5" t="s">
        <v>784</v>
      </c>
      <c r="E8" s="5" t="s">
        <v>785</v>
      </c>
      <c r="F8" s="5" t="s">
        <v>786</v>
      </c>
    </row>
    <row r="10" customFormat="false" ht="15" hidden="false" customHeight="false" outlineLevel="0" collapsed="false">
      <c r="A10" s="6" t="s">
        <v>787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0"/>
  </cols>
  <sheetData>
    <row r="1" customFormat="false" ht="39.55" hidden="false" customHeight="false" outlineLevel="0" collapsed="false">
      <c r="A1" s="4" t="s">
        <v>788</v>
      </c>
      <c r="B1" s="4" t="s">
        <v>789</v>
      </c>
      <c r="C1" s="4" t="s">
        <v>790</v>
      </c>
      <c r="D1" s="4" t="s">
        <v>791</v>
      </c>
      <c r="E1" s="4" t="s">
        <v>792</v>
      </c>
      <c r="F1" s="4" t="s">
        <v>793</v>
      </c>
      <c r="G1" s="4" t="s">
        <v>794</v>
      </c>
      <c r="H1" s="4" t="s">
        <v>795</v>
      </c>
      <c r="I1" s="4" t="s">
        <v>796</v>
      </c>
      <c r="J1" s="4" t="s">
        <v>797</v>
      </c>
      <c r="K1" s="4" t="s">
        <v>798</v>
      </c>
      <c r="L1" s="4" t="s">
        <v>799</v>
      </c>
      <c r="M1" s="4" t="s">
        <v>800</v>
      </c>
    </row>
    <row r="2" customFormat="false" ht="23.85" hidden="false" customHeight="false" outlineLevel="0" collapsed="false">
      <c r="A2" s="5" t="n">
        <v>1</v>
      </c>
      <c r="B2" s="5" t="s">
        <v>801</v>
      </c>
      <c r="C2" s="5" t="s">
        <v>102</v>
      </c>
      <c r="D2" s="5" t="s">
        <v>50</v>
      </c>
      <c r="E2" s="5"/>
      <c r="F2" s="5"/>
      <c r="G2" s="5" t="s">
        <v>652</v>
      </c>
      <c r="H2" s="7"/>
      <c r="I2" s="7"/>
      <c r="J2" s="8" t="str">
        <f aca="false">IF(H2="","",I2/H2)</f>
        <v/>
      </c>
      <c r="K2" s="7"/>
      <c r="L2" s="7"/>
      <c r="M2" s="8" t="str">
        <f aca="false">IF(K2="","",L2/K2)</f>
        <v/>
      </c>
    </row>
    <row r="3" customFormat="false" ht="23.85" hidden="false" customHeight="false" outlineLevel="0" collapsed="false">
      <c r="A3" s="5" t="n">
        <v>2</v>
      </c>
      <c r="B3" s="5" t="s">
        <v>802</v>
      </c>
      <c r="C3" s="5" t="s">
        <v>102</v>
      </c>
      <c r="D3" s="5" t="s">
        <v>803</v>
      </c>
      <c r="E3" s="5" t="s">
        <v>804</v>
      </c>
      <c r="F3" s="5"/>
      <c r="G3" s="5" t="s">
        <v>652</v>
      </c>
      <c r="H3" s="7"/>
      <c r="I3" s="7"/>
      <c r="J3" s="8" t="str">
        <f aca="false">IF(H3="","",I3/H3)</f>
        <v/>
      </c>
      <c r="K3" s="7"/>
      <c r="L3" s="7"/>
      <c r="M3" s="8" t="str">
        <f aca="false">IF(K3="","",L3/K3)</f>
        <v/>
      </c>
    </row>
    <row r="4" customFormat="false" ht="23.85" hidden="false" customHeight="false" outlineLevel="0" collapsed="false">
      <c r="A4" s="5" t="n">
        <v>3</v>
      </c>
      <c r="B4" s="5" t="s">
        <v>805</v>
      </c>
      <c r="C4" s="5" t="s">
        <v>102</v>
      </c>
      <c r="D4" s="5" t="s">
        <v>806</v>
      </c>
      <c r="E4" s="5" t="s">
        <v>807</v>
      </c>
      <c r="F4" s="5" t="s">
        <v>808</v>
      </c>
      <c r="G4" s="5" t="s">
        <v>685</v>
      </c>
      <c r="H4" s="7"/>
      <c r="I4" s="7"/>
      <c r="J4" s="8" t="str">
        <f aca="false">IF(H4="","",I4/H4)</f>
        <v/>
      </c>
      <c r="K4" s="7"/>
      <c r="L4" s="7"/>
      <c r="M4" s="8" t="str">
        <f aca="false">IF(K4="","",L4/K4)</f>
        <v/>
      </c>
    </row>
    <row r="5" customFormat="false" ht="15" hidden="false" customHeight="false" outlineLevel="0" collapsed="false">
      <c r="A5" s="5" t="n">
        <v>4</v>
      </c>
      <c r="B5" s="5" t="s">
        <v>809</v>
      </c>
      <c r="C5" s="5" t="s">
        <v>102</v>
      </c>
      <c r="D5" s="5" t="s">
        <v>810</v>
      </c>
      <c r="E5" s="5" t="s">
        <v>811</v>
      </c>
      <c r="F5" s="5" t="s">
        <v>812</v>
      </c>
      <c r="G5" s="5" t="s">
        <v>685</v>
      </c>
      <c r="H5" s="7"/>
      <c r="I5" s="7"/>
      <c r="J5" s="8" t="str">
        <f aca="false">IF(H5="","",I5/H5)</f>
        <v/>
      </c>
      <c r="K5" s="7"/>
      <c r="L5" s="7"/>
      <c r="M5" s="8" t="str">
        <f aca="false">IF(K5="","",L5/K5)</f>
        <v/>
      </c>
    </row>
    <row r="6" customFormat="false" ht="15" hidden="false" customHeight="false" outlineLevel="0" collapsed="false">
      <c r="A6" s="5" t="n">
        <v>5</v>
      </c>
      <c r="B6" s="5" t="s">
        <v>813</v>
      </c>
      <c r="C6" s="5" t="s">
        <v>102</v>
      </c>
      <c r="D6" s="5" t="s">
        <v>814</v>
      </c>
      <c r="E6" s="5"/>
      <c r="F6" s="5"/>
      <c r="G6" s="5" t="s">
        <v>685</v>
      </c>
      <c r="H6" s="7"/>
      <c r="I6" s="7"/>
      <c r="J6" s="8" t="str">
        <f aca="false">IF(H6="","",I6/H6)</f>
        <v/>
      </c>
      <c r="K6" s="7"/>
      <c r="L6" s="7"/>
      <c r="M6" s="8" t="str">
        <f aca="false">IF(K6="","",L6/K6)</f>
        <v/>
      </c>
    </row>
    <row r="7" customFormat="false" ht="15" hidden="false" customHeight="false" outlineLevel="0" collapsed="false">
      <c r="A7" s="5" t="n">
        <v>6</v>
      </c>
      <c r="B7" s="5" t="s">
        <v>815</v>
      </c>
      <c r="C7" s="5" t="s">
        <v>102</v>
      </c>
      <c r="D7" s="5" t="s">
        <v>816</v>
      </c>
      <c r="E7" s="5"/>
      <c r="F7" s="5" t="s">
        <v>817</v>
      </c>
      <c r="G7" s="5" t="s">
        <v>685</v>
      </c>
      <c r="H7" s="7"/>
      <c r="I7" s="7"/>
      <c r="J7" s="8" t="str">
        <f aca="false">IF(H7="","",I7/H7)</f>
        <v/>
      </c>
      <c r="K7" s="7"/>
      <c r="L7" s="7"/>
      <c r="M7" s="8" t="str">
        <f aca="false">IF(K7="","",L7/K7)</f>
        <v/>
      </c>
    </row>
    <row r="8" customFormat="false" ht="15" hidden="false" customHeight="false" outlineLevel="0" collapsed="false">
      <c r="A8" s="5" t="n">
        <v>7</v>
      </c>
      <c r="B8" s="5" t="s">
        <v>818</v>
      </c>
      <c r="C8" s="5" t="s">
        <v>102</v>
      </c>
      <c r="D8" s="5" t="s">
        <v>41</v>
      </c>
      <c r="E8" s="5" t="s">
        <v>190</v>
      </c>
      <c r="F8" s="5"/>
      <c r="G8" s="5" t="s">
        <v>685</v>
      </c>
      <c r="H8" s="7"/>
      <c r="I8" s="7"/>
      <c r="J8" s="8" t="str">
        <f aca="false">IF(H8="","",I8/H8)</f>
        <v/>
      </c>
      <c r="K8" s="7"/>
      <c r="L8" s="7"/>
      <c r="M8" s="8" t="str">
        <f aca="false">IF(K8="","",L8/K8)</f>
        <v/>
      </c>
    </row>
    <row r="9" customFormat="false" ht="15" hidden="false" customHeight="false" outlineLevel="0" collapsed="false">
      <c r="A9" s="5" t="n">
        <v>8</v>
      </c>
      <c r="B9" s="5" t="s">
        <v>819</v>
      </c>
      <c r="C9" s="5" t="s">
        <v>102</v>
      </c>
      <c r="D9" s="5" t="s">
        <v>820</v>
      </c>
      <c r="E9" s="5"/>
      <c r="F9" s="5"/>
      <c r="G9" s="5" t="s">
        <v>685</v>
      </c>
      <c r="H9" s="7"/>
      <c r="I9" s="7"/>
      <c r="J9" s="8" t="str">
        <f aca="false">IF(H9="","",I9/H9)</f>
        <v/>
      </c>
      <c r="K9" s="7"/>
      <c r="L9" s="7"/>
      <c r="M9" s="8" t="str">
        <f aca="false">IF(K9="","",L9/K9)</f>
        <v/>
      </c>
    </row>
    <row r="10" customFormat="false" ht="15" hidden="false" customHeight="false" outlineLevel="0" collapsed="false">
      <c r="A10" s="5" t="n">
        <v>9</v>
      </c>
      <c r="B10" s="5" t="s">
        <v>821</v>
      </c>
      <c r="C10" s="5" t="s">
        <v>342</v>
      </c>
      <c r="D10" s="5" t="s">
        <v>822</v>
      </c>
      <c r="E10" s="5"/>
      <c r="F10" s="5"/>
      <c r="G10" s="5" t="s">
        <v>685</v>
      </c>
      <c r="H10" s="7"/>
      <c r="I10" s="7"/>
      <c r="J10" s="8" t="str">
        <f aca="false">IF(H10="","",I10/H10)</f>
        <v/>
      </c>
      <c r="K10" s="7"/>
      <c r="L10" s="7"/>
      <c r="M10" s="8" t="str">
        <f aca="false">IF(K10="","",L10/K10)</f>
        <v/>
      </c>
    </row>
    <row r="11" customFormat="false" ht="15" hidden="false" customHeight="false" outlineLevel="0" collapsed="false">
      <c r="A11" s="5" t="n">
        <v>10</v>
      </c>
      <c r="B11" s="5" t="s">
        <v>823</v>
      </c>
      <c r="C11" s="5" t="s">
        <v>342</v>
      </c>
      <c r="D11" s="5" t="s">
        <v>305</v>
      </c>
      <c r="E11" s="5" t="s">
        <v>264</v>
      </c>
      <c r="F11" s="5" t="s">
        <v>824</v>
      </c>
      <c r="G11" s="5" t="s">
        <v>685</v>
      </c>
      <c r="H11" s="7"/>
      <c r="I11" s="7"/>
      <c r="J11" s="8" t="str">
        <f aca="false">IF(H11="","",I11/H11)</f>
        <v/>
      </c>
      <c r="K11" s="7"/>
      <c r="L11" s="7"/>
      <c r="M11" s="8" t="str">
        <f aca="false">IF(K11="","",L11/K11)</f>
        <v/>
      </c>
    </row>
    <row r="12" customFormat="false" ht="23.85" hidden="false" customHeight="false" outlineLevel="0" collapsed="false">
      <c r="A12" s="5" t="n">
        <v>11</v>
      </c>
      <c r="B12" s="5" t="s">
        <v>825</v>
      </c>
      <c r="C12" s="5" t="s">
        <v>342</v>
      </c>
      <c r="D12" s="5" t="s">
        <v>826</v>
      </c>
      <c r="E12" s="5"/>
      <c r="F12" s="5" t="s">
        <v>827</v>
      </c>
      <c r="G12" s="5" t="s">
        <v>685</v>
      </c>
      <c r="H12" s="7"/>
      <c r="I12" s="7"/>
      <c r="J12" s="8" t="str">
        <f aca="false">IF(H12="","",I12/H12)</f>
        <v/>
      </c>
      <c r="K12" s="7"/>
      <c r="L12" s="7"/>
      <c r="M12" s="8" t="str">
        <f aca="false">IF(K12="","",L12/K12)</f>
        <v/>
      </c>
    </row>
    <row r="13" customFormat="false" ht="15" hidden="false" customHeight="false" outlineLevel="0" collapsed="false">
      <c r="A13" s="5" t="n">
        <v>12</v>
      </c>
      <c r="B13" s="5" t="s">
        <v>828</v>
      </c>
      <c r="C13" s="5" t="s">
        <v>10</v>
      </c>
      <c r="D13" s="5" t="s">
        <v>829</v>
      </c>
      <c r="E13" s="5" t="s">
        <v>335</v>
      </c>
      <c r="F13" s="5"/>
      <c r="G13" s="5" t="s">
        <v>685</v>
      </c>
      <c r="H13" s="7"/>
      <c r="I13" s="7"/>
      <c r="J13" s="8" t="str">
        <f aca="false">IF(H13="","",I13/H13)</f>
        <v/>
      </c>
      <c r="K13" s="7"/>
      <c r="L13" s="7"/>
      <c r="M13" s="8" t="str">
        <f aca="false">IF(K13="","",L13/K13)</f>
        <v/>
      </c>
    </row>
    <row r="14" customFormat="false" ht="23.85" hidden="false" customHeight="false" outlineLevel="0" collapsed="false">
      <c r="A14" s="5" t="n">
        <v>13</v>
      </c>
      <c r="B14" s="5" t="s">
        <v>830</v>
      </c>
      <c r="C14" s="5" t="s">
        <v>102</v>
      </c>
      <c r="D14" s="5" t="s">
        <v>64</v>
      </c>
      <c r="E14" s="5" t="s">
        <v>831</v>
      </c>
      <c r="F14" s="5" t="s">
        <v>832</v>
      </c>
      <c r="G14" s="5" t="s">
        <v>652</v>
      </c>
      <c r="H14" s="7"/>
      <c r="I14" s="7"/>
      <c r="J14" s="8" t="str">
        <f aca="false">IF(H14="","",I14/H14)</f>
        <v/>
      </c>
      <c r="K14" s="7"/>
      <c r="L14" s="7"/>
      <c r="M14" s="8" t="str">
        <f aca="false">IF(K14="","",L14/K14)</f>
        <v/>
      </c>
    </row>
    <row r="15" customFormat="false" ht="23.85" hidden="false" customHeight="false" outlineLevel="0" collapsed="false">
      <c r="A15" s="5" t="n">
        <v>14</v>
      </c>
      <c r="B15" s="5" t="s">
        <v>833</v>
      </c>
      <c r="C15" s="5" t="s">
        <v>102</v>
      </c>
      <c r="D15" s="5" t="s">
        <v>50</v>
      </c>
      <c r="E15" s="5"/>
      <c r="F15" s="5" t="s">
        <v>834</v>
      </c>
      <c r="G15" s="5" t="s">
        <v>652</v>
      </c>
      <c r="H15" s="7"/>
      <c r="I15" s="7"/>
      <c r="J15" s="8" t="str">
        <f aca="false">IF(H15="","",I15/H15)</f>
        <v/>
      </c>
      <c r="K15" s="7"/>
      <c r="L15" s="7"/>
      <c r="M15" s="8" t="str">
        <f aca="false">IF(K15="","",L15/K15)</f>
        <v/>
      </c>
    </row>
    <row r="17" customFormat="false" ht="15" hidden="false" customHeight="false" outlineLevel="0" collapsed="false">
      <c r="A17" s="3" t="s">
        <v>835</v>
      </c>
    </row>
    <row r="18" customFormat="false" ht="15" hidden="false" customHeight="false" outlineLevel="0" collapsed="false">
      <c r="A18" s="6" t="s">
        <v>836</v>
      </c>
    </row>
    <row r="20" customFormat="false" ht="15" hidden="false" customHeight="false" outlineLevel="0" collapsed="false">
      <c r="A20" s="9" t="s">
        <v>837</v>
      </c>
      <c r="B20" s="9" t="s">
        <v>838</v>
      </c>
      <c r="C20" s="9" t="s">
        <v>839</v>
      </c>
    </row>
    <row r="21" customFormat="false" ht="15" hidden="false" customHeight="false" outlineLevel="0" collapsed="false">
      <c r="A21" s="2" t="s">
        <v>840</v>
      </c>
      <c r="B21" s="10" t="str">
        <f aca="false">IFERROR(SUMIFS(I2:I15,G2:G15,"Có")/SUMIFS(H2:H15,G2:G15,"Có"),"")</f>
        <v/>
      </c>
      <c r="C21" s="10" t="str">
        <f aca="false">IFERROR(SUMIFS(L2:L15,G2:G15,"Có")/SUMIFS(K2:K15,G2:G15,"Có"),"")</f>
        <v/>
      </c>
    </row>
    <row r="22" customFormat="false" ht="15" hidden="false" customHeight="false" outlineLevel="0" collapsed="false">
      <c r="A22" s="2" t="s">
        <v>841</v>
      </c>
      <c r="C22" s="11" t="n">
        <f aca="false">SUMPRODUCT((G2:G15="Có")*(H2:H15&lt;&gt;"")*(K2:K15&lt;&gt;"")*((I2:I15)-(L2:L15)&gt;=2))</f>
        <v>0</v>
      </c>
    </row>
    <row r="23" customFormat="false" ht="15" hidden="false" customHeight="false" outlineLevel="0" collapsed="false">
      <c r="A23" s="2" t="s">
        <v>842</v>
      </c>
      <c r="C23" s="0" t="str">
        <f aca="false">IF(COUNT(J14,M14,J15,M15)&lt;4,"",IF(OR(AND(J14&lt;0.65,M14&lt;0.65),AND(J15&lt;0.65,M15&lt;0.65)),"Có","Không"))</f>
        <v/>
      </c>
    </row>
    <row r="24" customFormat="false" ht="15" hidden="false" customHeight="false" outlineLevel="0" collapsed="false">
      <c r="A24" s="2" t="s">
        <v>843</v>
      </c>
      <c r="C24" s="3" t="str">
        <f aca="false">IF(OR(COUNT(H2:H15)=0,COUNT(K2:K15)=0),"Chưa có dữ liệu",IF(C23="Có","Xem lại cách chia cấp 1 (Đ1, phương án D)",IF(C22&gt;=1,"Giữ nhãn A; sửa dòng mô tả; chạy lại nhiệm vụ 13","Chọn nhãn B")))</f>
        <v>Chưa có dữ liệu</v>
      </c>
    </row>
    <row r="25" customFormat="false" ht="15" hidden="false" customHeight="false" outlineLevel="0" collapsed="false">
      <c r="A25" s="6" t="s">
        <v>844</v>
      </c>
    </row>
  </sheetData>
  <autoFilter ref="A1:M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788</v>
      </c>
      <c r="B1" s="4" t="s">
        <v>845</v>
      </c>
      <c r="C1" s="4" t="s">
        <v>846</v>
      </c>
      <c r="D1" s="4" t="s">
        <v>847</v>
      </c>
    </row>
    <row r="2" customFormat="false" ht="15" hidden="false" customHeight="false" outlineLevel="0" collapsed="false">
      <c r="A2" s="5" t="n">
        <v>1</v>
      </c>
      <c r="B2" s="5" t="s">
        <v>848</v>
      </c>
      <c r="C2" s="5" t="s">
        <v>849</v>
      </c>
      <c r="D2" s="5" t="s">
        <v>790</v>
      </c>
    </row>
    <row r="3" customFormat="false" ht="15" hidden="false" customHeight="false" outlineLevel="0" collapsed="false">
      <c r="A3" s="5" t="n">
        <v>2</v>
      </c>
      <c r="B3" s="5" t="s">
        <v>850</v>
      </c>
      <c r="C3" s="5" t="s">
        <v>851</v>
      </c>
      <c r="D3" s="5" t="s">
        <v>852</v>
      </c>
    </row>
    <row r="4" customFormat="false" ht="15" hidden="false" customHeight="false" outlineLevel="0" collapsed="false">
      <c r="A4" s="5" t="n">
        <v>3</v>
      </c>
      <c r="B4" s="5" t="s">
        <v>853</v>
      </c>
      <c r="C4" s="5" t="s">
        <v>854</v>
      </c>
      <c r="D4" s="5" t="s">
        <v>790</v>
      </c>
    </row>
    <row r="5" customFormat="false" ht="15" hidden="false" customHeight="false" outlineLevel="0" collapsed="false">
      <c r="A5" s="5" t="n">
        <v>4</v>
      </c>
      <c r="B5" s="5" t="s">
        <v>855</v>
      </c>
      <c r="C5" s="5" t="s">
        <v>851</v>
      </c>
      <c r="D5" s="5" t="s">
        <v>856</v>
      </c>
    </row>
    <row r="6" customFormat="false" ht="15" hidden="false" customHeight="false" outlineLevel="0" collapsed="false">
      <c r="A6" s="5" t="n">
        <v>5</v>
      </c>
      <c r="B6" s="5" t="s">
        <v>857</v>
      </c>
      <c r="C6" s="5" t="s">
        <v>851</v>
      </c>
      <c r="D6" s="5" t="s">
        <v>856</v>
      </c>
    </row>
    <row r="7" customFormat="false" ht="23.85" hidden="false" customHeight="false" outlineLevel="0" collapsed="false">
      <c r="A7" s="5" t="n">
        <v>6</v>
      </c>
      <c r="B7" s="5" t="s">
        <v>858</v>
      </c>
      <c r="C7" s="5" t="s">
        <v>851</v>
      </c>
      <c r="D7" s="5" t="s">
        <v>856</v>
      </c>
    </row>
    <row r="8" customFormat="false" ht="23.85" hidden="false" customHeight="false" outlineLevel="0" collapsed="false">
      <c r="A8" s="5" t="n">
        <v>7</v>
      </c>
      <c r="B8" s="5" t="s">
        <v>859</v>
      </c>
      <c r="C8" s="5" t="s">
        <v>851</v>
      </c>
      <c r="D8" s="5" t="s">
        <v>856</v>
      </c>
    </row>
    <row r="9" customFormat="false" ht="23.85" hidden="false" customHeight="false" outlineLevel="0" collapsed="false">
      <c r="A9" s="5" t="n">
        <v>8</v>
      </c>
      <c r="B9" s="5" t="s">
        <v>860</v>
      </c>
      <c r="C9" s="5" t="s">
        <v>851</v>
      </c>
      <c r="D9" s="5" t="s">
        <v>861</v>
      </c>
    </row>
    <row r="10" customFormat="false" ht="15" hidden="false" customHeight="false" outlineLevel="0" collapsed="false">
      <c r="A10" s="5" t="n">
        <v>9</v>
      </c>
      <c r="B10" s="5" t="s">
        <v>862</v>
      </c>
      <c r="C10" s="5" t="s">
        <v>851</v>
      </c>
      <c r="D10" s="5" t="s">
        <v>861</v>
      </c>
    </row>
    <row r="11" customFormat="false" ht="15" hidden="false" customHeight="false" outlineLevel="0" collapsed="false">
      <c r="A11" s="5" t="n">
        <v>10</v>
      </c>
      <c r="B11" s="5" t="s">
        <v>863</v>
      </c>
      <c r="C11" s="5" t="s">
        <v>849</v>
      </c>
      <c r="D11" s="5" t="s">
        <v>864</v>
      </c>
    </row>
    <row r="12" customFormat="false" ht="15" hidden="false" customHeight="false" outlineLevel="0" collapsed="false">
      <c r="A12" s="5" t="n">
        <v>11</v>
      </c>
      <c r="B12" s="5" t="s">
        <v>865</v>
      </c>
      <c r="C12" s="5" t="s">
        <v>849</v>
      </c>
      <c r="D12" s="5" t="s">
        <v>864</v>
      </c>
    </row>
    <row r="13" customFormat="false" ht="15" hidden="false" customHeight="false" outlineLevel="0" collapsed="false">
      <c r="A13" s="5" t="n">
        <v>12</v>
      </c>
      <c r="B13" s="5" t="s">
        <v>866</v>
      </c>
      <c r="C13" s="5" t="s">
        <v>849</v>
      </c>
      <c r="D13" s="5" t="s">
        <v>867</v>
      </c>
    </row>
    <row r="14" customFormat="false" ht="15" hidden="false" customHeight="false" outlineLevel="0" collapsed="false">
      <c r="A14" s="5" t="n">
        <v>13</v>
      </c>
      <c r="B14" s="5" t="s">
        <v>868</v>
      </c>
      <c r="C14" s="5" t="s">
        <v>849</v>
      </c>
      <c r="D14" s="5" t="s">
        <v>856</v>
      </c>
    </row>
    <row r="15" customFormat="false" ht="15" hidden="false" customHeight="false" outlineLevel="0" collapsed="false">
      <c r="A15" s="5" t="n">
        <v>14</v>
      </c>
      <c r="B15" s="5" t="s">
        <v>869</v>
      </c>
      <c r="C15" s="5" t="s">
        <v>849</v>
      </c>
      <c r="D15" s="5" t="s">
        <v>856</v>
      </c>
    </row>
    <row r="16" customFormat="false" ht="15" hidden="false" customHeight="false" outlineLevel="0" collapsed="false">
      <c r="A16" s="5" t="n">
        <v>15</v>
      </c>
      <c r="B16" s="5" t="s">
        <v>870</v>
      </c>
      <c r="C16" s="5" t="s">
        <v>849</v>
      </c>
      <c r="D16" s="5" t="s">
        <v>852</v>
      </c>
    </row>
    <row r="17" customFormat="false" ht="15" hidden="false" customHeight="false" outlineLevel="0" collapsed="false">
      <c r="A17" s="5" t="n">
        <v>16</v>
      </c>
      <c r="B17" s="5" t="s">
        <v>871</v>
      </c>
      <c r="C17" s="5" t="s">
        <v>849</v>
      </c>
      <c r="D17" s="5" t="s">
        <v>872</v>
      </c>
    </row>
    <row r="18" customFormat="false" ht="15" hidden="false" customHeight="false" outlineLevel="0" collapsed="false">
      <c r="A18" s="5" t="n">
        <v>17</v>
      </c>
      <c r="B18" s="5" t="s">
        <v>873</v>
      </c>
      <c r="C18" s="5" t="s">
        <v>854</v>
      </c>
      <c r="D18" s="5" t="s">
        <v>874</v>
      </c>
    </row>
    <row r="19" customFormat="false" ht="15" hidden="false" customHeight="false" outlineLevel="0" collapsed="false">
      <c r="A19" s="5" t="n">
        <v>18</v>
      </c>
      <c r="B19" s="5" t="s">
        <v>875</v>
      </c>
      <c r="C19" s="5" t="s">
        <v>854</v>
      </c>
      <c r="D19" s="5" t="s">
        <v>876</v>
      </c>
    </row>
    <row r="20" customFormat="false" ht="15" hidden="false" customHeight="false" outlineLevel="0" collapsed="false">
      <c r="A20" s="5" t="n">
        <v>19</v>
      </c>
      <c r="B20" s="5" t="s">
        <v>877</v>
      </c>
      <c r="C20" s="5" t="s">
        <v>849</v>
      </c>
      <c r="D20" s="5" t="s">
        <v>856</v>
      </c>
    </row>
    <row r="21" customFormat="false" ht="15" hidden="false" customHeight="false" outlineLevel="0" collapsed="false">
      <c r="A21" s="5" t="n">
        <v>20</v>
      </c>
      <c r="B21" s="5" t="s">
        <v>878</v>
      </c>
      <c r="C21" s="5" t="s">
        <v>849</v>
      </c>
      <c r="D21" s="5" t="s">
        <v>856</v>
      </c>
    </row>
    <row r="22" customFormat="false" ht="15" hidden="false" customHeight="false" outlineLevel="0" collapsed="false">
      <c r="A22" s="5" t="n">
        <v>21</v>
      </c>
      <c r="B22" s="5" t="s">
        <v>879</v>
      </c>
      <c r="C22" s="5" t="s">
        <v>849</v>
      </c>
      <c r="D22" s="5" t="s">
        <v>856</v>
      </c>
    </row>
  </sheetData>
  <autoFilter ref="A1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2026-10-23T11:46:03Z</dcterms:created>
  <dc:creator>openpyxl</dc:creator>
  <dc:description/>
  <dc:language>en-US</dc:language>
  <cp:lastModifiedBy/>
  <dcterms:modified xsi:type="dcterms:W3CDTF">2026-10-23T11:46:03Z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